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9fc430203973324/TravauxMetriques/IIm/Passion IIm/PupitreLigne/AlimLigne_PassionIIm/"/>
    </mc:Choice>
  </mc:AlternateContent>
  <xr:revisionPtr revIDLastSave="325" documentId="8_{D99A6803-265B-43E3-9609-960129D8CCE8}" xr6:coauthVersionLast="47" xr6:coauthVersionMax="47" xr10:uidLastSave="{554F8893-E192-42BB-B486-75A96D8534B9}"/>
  <bookViews>
    <workbookView xWindow="11424" yWindow="0" windowWidth="11712" windowHeight="13776" xr2:uid="{C3AD9156-7CE6-4A1E-A3FD-D08ECF380023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8" i="1" l="1"/>
  <c r="I18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9" i="1"/>
  <c r="I20" i="1"/>
  <c r="I21" i="1"/>
  <c r="I22" i="1"/>
  <c r="I23" i="1"/>
  <c r="I24" i="1"/>
  <c r="I25" i="1"/>
  <c r="I26" i="1"/>
  <c r="I27" i="1"/>
  <c r="I29" i="1"/>
  <c r="I30" i="1"/>
  <c r="I31" i="1"/>
  <c r="I3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<sst xmlns="http://schemas.openxmlformats.org/spreadsheetml/2006/main" count="134" uniqueCount="96">
  <si>
    <t>Quoi</t>
  </si>
  <si>
    <t xml:space="preserve">Reference </t>
  </si>
  <si>
    <t>Qty/PCB</t>
  </si>
  <si>
    <t>Qty/Tot</t>
  </si>
  <si>
    <t>Prix</t>
  </si>
  <si>
    <t>Fabriquant</t>
  </si>
  <si>
    <t xml:space="preserve">Fournisseur </t>
  </si>
  <si>
    <t xml:space="preserve">Lien </t>
  </si>
  <si>
    <t>G2RK-2 DC12</t>
  </si>
  <si>
    <t>Relai BiStable de Puissance</t>
  </si>
  <si>
    <t>Omron</t>
  </si>
  <si>
    <t>Digikey</t>
  </si>
  <si>
    <t>https://www.digikey.ch/fr/products/detail/omron-electronics-inc-emc-div/G2RK-2-DC12/259703</t>
  </si>
  <si>
    <t>Relai Bistable de Signal</t>
  </si>
  <si>
    <t>MPSA56</t>
  </si>
  <si>
    <t>Ref PCB</t>
  </si>
  <si>
    <t>K1</t>
  </si>
  <si>
    <t>K2</t>
  </si>
  <si>
    <t>Q1</t>
  </si>
  <si>
    <t>U1</t>
  </si>
  <si>
    <t>TI</t>
  </si>
  <si>
    <t>Diotec Semiconductor</t>
  </si>
  <si>
    <t>1N4007</t>
  </si>
  <si>
    <t>PrixTot/PCB</t>
  </si>
  <si>
    <t>Condensateur</t>
  </si>
  <si>
    <t>Valeur</t>
  </si>
  <si>
    <t>Stock</t>
  </si>
  <si>
    <t>Resistance</t>
  </si>
  <si>
    <t>J3</t>
  </si>
  <si>
    <t>https://www.digikey.ch/fr/products/detail/diotec-semiconductor/1N4007/18833652</t>
  </si>
  <si>
    <t>https://www.digikey.ch/fr/products/detail/diotec-semiconductor/MPSA56/22193185</t>
  </si>
  <si>
    <t>BOM - PCB Bloc de Ligne Passion IIM</t>
  </si>
  <si>
    <t>Jules Grucy</t>
  </si>
  <si>
    <t xml:space="preserve">Auteur : </t>
  </si>
  <si>
    <t xml:space="preserve">Date : </t>
  </si>
  <si>
    <t xml:space="preserve">Revision : </t>
  </si>
  <si>
    <t>Approbateur :</t>
  </si>
  <si>
    <t>Damien De P.</t>
  </si>
  <si>
    <t>Variante</t>
  </si>
  <si>
    <t>TLC555CP</t>
  </si>
  <si>
    <t>https://www.digikey.ch/fr/products/detail/texas-instruments/TLC555CP/277502</t>
  </si>
  <si>
    <t>Transistor</t>
  </si>
  <si>
    <t>Q2, Q3, Q4</t>
  </si>
  <si>
    <t>2N2222A</t>
  </si>
  <si>
    <t>https://www.digikey.ch/fr/products/detail/diotec-semiconductor/2N2222A/13164037</t>
  </si>
  <si>
    <t>Mosfet</t>
  </si>
  <si>
    <t>IRF4905PBF</t>
  </si>
  <si>
    <t>Infineon Technologie</t>
  </si>
  <si>
    <t>https://www.digikey.ch/fr/products/detail/infineon-technologies/IRF4905PBF/812139</t>
  </si>
  <si>
    <t>C1, C2</t>
  </si>
  <si>
    <t>V2</t>
  </si>
  <si>
    <t>C3</t>
  </si>
  <si>
    <t>100nF</t>
  </si>
  <si>
    <t>C4</t>
  </si>
  <si>
    <t>1nF</t>
  </si>
  <si>
    <t>C5</t>
  </si>
  <si>
    <t>270nF</t>
  </si>
  <si>
    <t>Diode</t>
  </si>
  <si>
    <t>D1, D2, D3, D4</t>
  </si>
  <si>
    <t>AliExpress</t>
  </si>
  <si>
    <t>P5.08mm</t>
  </si>
  <si>
    <t>P2.54mm</t>
  </si>
  <si>
    <t>Borne a Vis</t>
  </si>
  <si>
    <t>Connecteur DIN</t>
  </si>
  <si>
    <t>Potentiometre</t>
  </si>
  <si>
    <t>Fiche Banane Rouge</t>
  </si>
  <si>
    <t>Fiche Banane Noir</t>
  </si>
  <si>
    <t>Fiche Banane Jaune</t>
  </si>
  <si>
    <t>Fiche Banane Bleu</t>
  </si>
  <si>
    <t>https://de.aliexpress.com/item/1005011562556892.html?spm=a2g0o.productlist.main.16.6cc12ea0bxeVQp&amp;utparam-url=scene%3Asearch%7Cquery_from%3Apc_back_same_best%7Cx_object_id%3A1005011562556892%7C_p_origin_prod%3A&amp;algo_pvid=50ab7cf4-e162-4535-b9d9-a2be6ca5b335&amp;pdp_ext_f=%7B%22order%22%3A%227%22%2C%22fromPage%22%3A%22search%22%7D</t>
  </si>
  <si>
    <t>https://www.conrad.ch/fr/p/potentiometre-rotatif-weltron-wcip20cips-08-60f1-4k7-20-lin-002045038962-avec-interrupteur-mono-0-4-w-4-7-k-1-pc-s-441128.html?refresh=true</t>
  </si>
  <si>
    <t>Conrad</t>
  </si>
  <si>
    <t>4K7</t>
  </si>
  <si>
    <t>https://www.conrad.ch/de/p/tru-components-tc-13895648-rundsteckverbinder-stecker-buchsenkontakt-gesamtpolzahl-6-serie-rundsteckverbinder-gx16-3473912.html?insert=UP&amp;WT.srch=1&amp;ef_id=CjwKCAjw5s_QBhAdEiwADD_gBlB0NtPFlP1PxWWOBrmvbSo2JJn5T44wcE8r8-Hav4RDqu4GGAYJ1RoCRWEQAvD_BwE:G:s</t>
  </si>
  <si>
    <t>10K</t>
  </si>
  <si>
    <t>Q6</t>
  </si>
  <si>
    <t>Interrupteur</t>
  </si>
  <si>
    <t>Bouton poussoir</t>
  </si>
  <si>
    <t>Led</t>
  </si>
  <si>
    <t>vertes</t>
  </si>
  <si>
    <t>jaunes</t>
  </si>
  <si>
    <t>3 pos 3 cont</t>
  </si>
  <si>
    <t>J1, J2, (J3)</t>
  </si>
  <si>
    <t>R1, R2, R5, R6</t>
  </si>
  <si>
    <t>Pour led</t>
  </si>
  <si>
    <t>R4</t>
  </si>
  <si>
    <t>R7</t>
  </si>
  <si>
    <t>R9, R18</t>
  </si>
  <si>
    <t>R8, R10, R13, R14, R19</t>
  </si>
  <si>
    <t>270R 1/4W</t>
  </si>
  <si>
    <t>Resistance (À changer)</t>
  </si>
  <si>
    <t xml:space="preserve">470R </t>
  </si>
  <si>
    <t>R12, R15</t>
  </si>
  <si>
    <t>1K 1/4W</t>
  </si>
  <si>
    <t>Capuchon pour pot</t>
  </si>
  <si>
    <t>~1000uF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</si>
</sst>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CHF&quot;_-;\-* #,##0.00\ &quot;CHF&quot;_-;_-* &quot;-&quot;??\ &quot;CHF&quot;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44" fontId="0" fillId="0" borderId="0" xfId="1" applyFont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0" fillId="0" borderId="1" xfId="0" applyBorder="1" applyAlignment="1">
      <alignment horizontal="right"/>
    </xf>
    <xf numFmtId="0" fontId="0" fillId="0" borderId="4" xfId="0" applyBorder="1" applyAlignment="1">
      <alignment horizontal="right"/>
    </xf>
    <xf numFmtId="14" fontId="0" fillId="0" borderId="9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6" xfId="0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</cellXfs>
  <cellStyles count="2">
    <cellStyle name="Monétaire" xfId="1" builtinId="4"/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* #,##0.00\ &quot;CHF&quot;_-;\-* #,##0.00\ &quot;CHF&quot;_-;_-* &quot;-&quot;??\ &quot;CHF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225E41-4DDD-470A-8E1A-242AA800D3ED}" name="Tableau2" displayName="Tableau2" ref="A2:L32" totalsRowShown="0" headerRowDxfId="4" headerRowBorderDxfId="3">
  <autoFilter ref="A2:L32" xr:uid="{69225E41-4DDD-470A-8E1A-242AA800D3ED}"/>
  <tableColumns count="12">
    <tableColumn id="1" xr3:uid="{4A89CEB1-B61F-4362-A305-55FE015108C9}" name="Quoi"/>
    <tableColumn id="12" xr3:uid="{DA7C8F96-35E1-4693-8B7A-073C30B6A014}" name="Variante"/>
    <tableColumn id="2" xr3:uid="{533B1CA6-1DE1-465B-9356-A9DA86FED988}" name="Ref PCB"/>
    <tableColumn id="3" xr3:uid="{10B8C4AC-F2D1-42F7-8965-EAC3276E0D7D}" name="Valeur"/>
    <tableColumn id="4" xr3:uid="{467AFC27-2172-45DF-983F-2D2881392CDC}" name="Reference "/>
    <tableColumn id="5" xr3:uid="{99AE4783-A1AE-4A59-8D0A-2F21D4650621}" name="Qty/PCB"/>
    <tableColumn id="6" xr3:uid="{7DFEF622-3863-4E1B-9C42-44C137F57007}" name="Qty/Tot"/>
    <tableColumn id="7" xr3:uid="{395CF200-6735-4436-81FB-32A22C5D952F}" name="Prix" dataDxfId="2" dataCellStyle="Monétaire"/>
    <tableColumn id="8" xr3:uid="{AF9D19B1-93B1-4ACE-B10F-818FD3288CA4}" name="PrixTot/PCB" dataDxfId="0" dataCellStyle="Monétaire">
      <calculatedColumnFormula>Tableau2[[#This Row],[Qty/PCB]]*Tableau2[[#This Row],[Prix]]</calculatedColumnFormula>
    </tableColumn>
    <tableColumn id="9" xr3:uid="{B4254C8A-C5D7-4572-B86E-606DB6474104}" name="Fabriquant" dataDxfId="1"/>
    <tableColumn id="10" xr3:uid="{CF25DBB4-03E2-4519-889D-8135C83E9E6E}" name="Fournisseur "/>
    <tableColumn id="11" xr3:uid="{BD2CA350-D119-422A-BE3F-FA523F34F5B9}" name="Lien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7EC6F-57FE-4577-A1D4-89717E48955F}">
  <dimension ref="A1:L40"/>
  <sheetViews>
    <sheetView tabSelected="1" topLeftCell="A5" workbookViewId="0">
      <selection activeCell="A22" sqref="A22"/>
    </sheetView>
  </sheetViews>
  <sheetFormatPr baseColWidth="10" defaultRowHeight="14.4" x14ac:dyDescent="0.3"/>
  <cols>
    <col min="1" max="1" width="25.5546875" customWidth="1"/>
    <col min="2" max="2" width="18.109375" customWidth="1"/>
    <col min="3" max="3" width="12.77734375" customWidth="1"/>
    <col min="4" max="4" width="14.109375" bestFit="1" customWidth="1"/>
    <col min="5" max="5" width="16.88671875" customWidth="1"/>
    <col min="9" max="9" width="12.109375" customWidth="1"/>
    <col min="10" max="10" width="19.88671875" customWidth="1"/>
    <col min="11" max="11" width="12.44140625" customWidth="1"/>
    <col min="12" max="12" width="79.5546875" customWidth="1"/>
  </cols>
  <sheetData>
    <row r="1" spans="1:12" x14ac:dyDescent="0.3">
      <c r="A1" s="14" t="s">
        <v>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1:12" ht="15" thickBot="1" x14ac:dyDescent="0.35">
      <c r="A2" s="12" t="s">
        <v>0</v>
      </c>
      <c r="B2" s="12" t="s">
        <v>38</v>
      </c>
      <c r="C2" s="13" t="s">
        <v>15</v>
      </c>
      <c r="D2" s="12" t="s">
        <v>25</v>
      </c>
      <c r="E2" s="12" t="s">
        <v>1</v>
      </c>
      <c r="F2" s="12" t="s">
        <v>2</v>
      </c>
      <c r="G2" s="12" t="s">
        <v>3</v>
      </c>
      <c r="H2" s="12" t="s">
        <v>4</v>
      </c>
      <c r="I2" s="12" t="s">
        <v>23</v>
      </c>
      <c r="J2" s="12" t="s">
        <v>5</v>
      </c>
      <c r="K2" s="12" t="s">
        <v>6</v>
      </c>
      <c r="L2" s="12" t="s">
        <v>7</v>
      </c>
    </row>
    <row r="3" spans="1:12" x14ac:dyDescent="0.3">
      <c r="A3" t="s">
        <v>9</v>
      </c>
      <c r="C3" t="s">
        <v>16</v>
      </c>
      <c r="E3" t="s">
        <v>8</v>
      </c>
      <c r="F3">
        <v>1</v>
      </c>
      <c r="H3" s="2">
        <v>8.7200000000000006</v>
      </c>
      <c r="I3" s="2">
        <f>Tableau2[[#This Row],[Qty/PCB]]*Tableau2[[#This Row],[Prix]]</f>
        <v>8.7200000000000006</v>
      </c>
      <c r="J3" t="s">
        <v>10</v>
      </c>
      <c r="K3" t="s">
        <v>11</v>
      </c>
      <c r="L3" t="s">
        <v>12</v>
      </c>
    </row>
    <row r="4" spans="1:12" x14ac:dyDescent="0.3">
      <c r="A4" t="s">
        <v>13</v>
      </c>
      <c r="C4" t="s">
        <v>17</v>
      </c>
      <c r="F4">
        <v>1</v>
      </c>
      <c r="H4" s="2">
        <v>0.5</v>
      </c>
      <c r="I4" s="2">
        <f>Tableau2[[#This Row],[Qty/PCB]]*Tableau2[[#This Row],[Prix]]</f>
        <v>0.5</v>
      </c>
      <c r="K4" t="s">
        <v>26</v>
      </c>
    </row>
    <row r="5" spans="1:12" x14ac:dyDescent="0.3">
      <c r="A5" s="3">
        <v>555</v>
      </c>
      <c r="C5" t="s">
        <v>19</v>
      </c>
      <c r="E5" t="s">
        <v>39</v>
      </c>
      <c r="F5">
        <v>1</v>
      </c>
      <c r="H5" s="2">
        <v>0.68</v>
      </c>
      <c r="I5" s="2">
        <f>Tableau2[[#This Row],[Qty/PCB]]*Tableau2[[#This Row],[Prix]]</f>
        <v>0.68</v>
      </c>
      <c r="J5" t="s">
        <v>20</v>
      </c>
      <c r="K5" t="s">
        <v>11</v>
      </c>
      <c r="L5" t="s">
        <v>40</v>
      </c>
    </row>
    <row r="6" spans="1:12" x14ac:dyDescent="0.3">
      <c r="A6" t="s">
        <v>41</v>
      </c>
      <c r="C6" t="s">
        <v>18</v>
      </c>
      <c r="E6" t="s">
        <v>14</v>
      </c>
      <c r="F6">
        <v>1</v>
      </c>
      <c r="H6" s="2">
        <v>0.11</v>
      </c>
      <c r="I6" s="2">
        <f>Tableau2[[#This Row],[Qty/PCB]]*Tableau2[[#This Row],[Prix]]</f>
        <v>0.11</v>
      </c>
      <c r="J6" s="4" t="s">
        <v>21</v>
      </c>
      <c r="K6" t="s">
        <v>11</v>
      </c>
      <c r="L6" t="s">
        <v>30</v>
      </c>
    </row>
    <row r="7" spans="1:12" x14ac:dyDescent="0.3">
      <c r="A7" t="s">
        <v>41</v>
      </c>
      <c r="B7" s="3"/>
      <c r="C7" t="s">
        <v>42</v>
      </c>
      <c r="E7" t="s">
        <v>43</v>
      </c>
      <c r="F7">
        <v>3</v>
      </c>
      <c r="H7" s="2">
        <v>8.5000000000000006E-2</v>
      </c>
      <c r="I7" s="2">
        <f>Tableau2[[#This Row],[Qty/PCB]]*Tableau2[[#This Row],[Prix]]</f>
        <v>0.255</v>
      </c>
      <c r="J7" s="4" t="s">
        <v>21</v>
      </c>
      <c r="K7" t="s">
        <v>11</v>
      </c>
      <c r="L7" t="s">
        <v>44</v>
      </c>
    </row>
    <row r="8" spans="1:12" x14ac:dyDescent="0.3">
      <c r="A8" t="s">
        <v>45</v>
      </c>
      <c r="C8" t="s">
        <v>75</v>
      </c>
      <c r="E8" t="s">
        <v>46</v>
      </c>
      <c r="F8">
        <v>1</v>
      </c>
      <c r="H8" s="2">
        <v>2.48</v>
      </c>
      <c r="I8" s="2">
        <f>Tableau2[[#This Row],[Qty/PCB]]*Tableau2[[#This Row],[Prix]]</f>
        <v>2.48</v>
      </c>
      <c r="J8" s="4" t="s">
        <v>47</v>
      </c>
      <c r="K8" t="s">
        <v>11</v>
      </c>
      <c r="L8" t="s">
        <v>48</v>
      </c>
    </row>
    <row r="9" spans="1:12" x14ac:dyDescent="0.3">
      <c r="A9" t="s">
        <v>24</v>
      </c>
      <c r="C9" t="s">
        <v>49</v>
      </c>
      <c r="D9" t="s">
        <v>95</v>
      </c>
      <c r="F9">
        <v>2</v>
      </c>
      <c r="H9" s="2"/>
      <c r="I9" s="2">
        <f>Tableau2[[#This Row],[Qty/PCB]]*Tableau2[[#This Row],[Prix]]</f>
        <v>0</v>
      </c>
      <c r="J9" s="4"/>
    </row>
    <row r="10" spans="1:12" x14ac:dyDescent="0.3">
      <c r="A10" t="s">
        <v>24</v>
      </c>
      <c r="C10" t="s">
        <v>51</v>
      </c>
      <c r="D10" t="s">
        <v>52</v>
      </c>
      <c r="F10">
        <v>1</v>
      </c>
      <c r="H10" s="2">
        <v>0.05</v>
      </c>
      <c r="I10" s="2">
        <f>Tableau2[[#This Row],[Qty/PCB]]*Tableau2[[#This Row],[Prix]]</f>
        <v>0.05</v>
      </c>
      <c r="J10" s="4"/>
      <c r="K10" t="s">
        <v>26</v>
      </c>
    </row>
    <row r="11" spans="1:12" x14ac:dyDescent="0.3">
      <c r="A11" t="s">
        <v>24</v>
      </c>
      <c r="C11" t="s">
        <v>53</v>
      </c>
      <c r="D11" t="s">
        <v>54</v>
      </c>
      <c r="F11">
        <v>1</v>
      </c>
      <c r="H11" s="2">
        <v>0.05</v>
      </c>
      <c r="I11" s="2">
        <f>Tableau2[[#This Row],[Qty/PCB]]*Tableau2[[#This Row],[Prix]]</f>
        <v>0.05</v>
      </c>
      <c r="J11" s="4"/>
      <c r="K11" t="s">
        <v>26</v>
      </c>
    </row>
    <row r="12" spans="1:12" x14ac:dyDescent="0.3">
      <c r="A12" t="s">
        <v>24</v>
      </c>
      <c r="C12" t="s">
        <v>55</v>
      </c>
      <c r="D12" t="s">
        <v>56</v>
      </c>
      <c r="F12">
        <v>1</v>
      </c>
      <c r="H12" s="2"/>
      <c r="I12" s="2">
        <f>Tableau2[[#This Row],[Qty/PCB]]*Tableau2[[#This Row],[Prix]]</f>
        <v>0</v>
      </c>
      <c r="J12" s="4"/>
    </row>
    <row r="13" spans="1:12" x14ac:dyDescent="0.3">
      <c r="A13" t="s">
        <v>57</v>
      </c>
      <c r="C13" t="s">
        <v>58</v>
      </c>
      <c r="D13" s="5"/>
      <c r="E13" t="s">
        <v>22</v>
      </c>
      <c r="F13">
        <v>4</v>
      </c>
      <c r="H13" s="2">
        <v>6.8000000000000005E-2</v>
      </c>
      <c r="I13" s="2">
        <f>Tableau2[[#This Row],[Qty/PCB]]*Tableau2[[#This Row],[Prix]]</f>
        <v>0.27200000000000002</v>
      </c>
      <c r="J13" s="4" t="s">
        <v>21</v>
      </c>
      <c r="K13" t="s">
        <v>11</v>
      </c>
      <c r="L13" t="s">
        <v>29</v>
      </c>
    </row>
    <row r="14" spans="1:12" x14ac:dyDescent="0.3">
      <c r="A14" t="s">
        <v>62</v>
      </c>
      <c r="C14" t="s">
        <v>82</v>
      </c>
      <c r="D14" t="s">
        <v>61</v>
      </c>
      <c r="F14">
        <v>3</v>
      </c>
      <c r="H14" s="2"/>
      <c r="I14" s="2">
        <f>Tableau2[[#This Row],[Qty/PCB]]*Tableau2[[#This Row],[Prix]]</f>
        <v>0</v>
      </c>
      <c r="J14" s="4"/>
      <c r="K14" t="s">
        <v>59</v>
      </c>
    </row>
    <row r="15" spans="1:12" x14ac:dyDescent="0.3">
      <c r="A15" t="s">
        <v>62</v>
      </c>
      <c r="C15" t="s">
        <v>28</v>
      </c>
      <c r="D15" t="s">
        <v>60</v>
      </c>
      <c r="F15">
        <v>1</v>
      </c>
      <c r="H15" s="2"/>
      <c r="I15" s="2">
        <f>Tableau2[[#This Row],[Qty/PCB]]*Tableau2[[#This Row],[Prix]]</f>
        <v>0</v>
      </c>
      <c r="K15" t="s">
        <v>59</v>
      </c>
    </row>
    <row r="16" spans="1:12" x14ac:dyDescent="0.3">
      <c r="A16" t="s">
        <v>27</v>
      </c>
      <c r="C16" t="s">
        <v>88</v>
      </c>
      <c r="D16" t="s">
        <v>74</v>
      </c>
      <c r="F16">
        <v>5</v>
      </c>
      <c r="H16" s="2">
        <v>0.05</v>
      </c>
      <c r="I16" s="2">
        <f>Tableau2[[#This Row],[Qty/PCB]]*Tableau2[[#This Row],[Prix]]</f>
        <v>0.25</v>
      </c>
      <c r="J16" s="4"/>
      <c r="K16" t="s">
        <v>26</v>
      </c>
    </row>
    <row r="17" spans="1:12" x14ac:dyDescent="0.3">
      <c r="A17" t="s">
        <v>27</v>
      </c>
      <c r="C17" t="s">
        <v>92</v>
      </c>
      <c r="D17" t="s">
        <v>93</v>
      </c>
      <c r="F17">
        <v>2</v>
      </c>
      <c r="H17" s="2">
        <v>0.05</v>
      </c>
      <c r="I17" s="2">
        <f>Tableau2[[#This Row],[Qty/PCB]]*Tableau2[[#This Row],[Prix]]</f>
        <v>0.1</v>
      </c>
      <c r="J17" s="4"/>
      <c r="K17" t="s">
        <v>26</v>
      </c>
    </row>
    <row r="18" spans="1:12" x14ac:dyDescent="0.3">
      <c r="A18" t="s">
        <v>27</v>
      </c>
      <c r="C18" t="s">
        <v>86</v>
      </c>
      <c r="D18" t="s">
        <v>91</v>
      </c>
      <c r="F18">
        <v>1</v>
      </c>
      <c r="H18" s="2">
        <v>0.05</v>
      </c>
      <c r="I18" s="2">
        <f>Tableau2[[#This Row],[Qty/PCB]]*Tableau2[[#This Row],[Prix]]</f>
        <v>0.05</v>
      </c>
      <c r="J18" s="4"/>
      <c r="K18" t="s">
        <v>26</v>
      </c>
    </row>
    <row r="19" spans="1:12" x14ac:dyDescent="0.3">
      <c r="A19" t="s">
        <v>27</v>
      </c>
      <c r="C19" t="s">
        <v>87</v>
      </c>
      <c r="D19" s="3" t="s">
        <v>89</v>
      </c>
      <c r="F19">
        <v>2</v>
      </c>
      <c r="H19" s="2">
        <v>0.05</v>
      </c>
      <c r="I19" s="2">
        <f>Tableau2[[#This Row],[Qty/PCB]]*Tableau2[[#This Row],[Prix]]</f>
        <v>0.1</v>
      </c>
      <c r="J19" s="4"/>
      <c r="K19" t="s">
        <v>26</v>
      </c>
    </row>
    <row r="20" spans="1:12" x14ac:dyDescent="0.3">
      <c r="A20" t="s">
        <v>90</v>
      </c>
      <c r="C20" t="s">
        <v>85</v>
      </c>
      <c r="D20" s="3"/>
      <c r="F20">
        <v>1</v>
      </c>
      <c r="H20" s="2">
        <v>0.05</v>
      </c>
      <c r="I20" s="2">
        <f>Tableau2[[#This Row],[Qty/PCB]]*Tableau2[[#This Row],[Prix]]</f>
        <v>0.05</v>
      </c>
      <c r="K20" t="s">
        <v>26</v>
      </c>
    </row>
    <row r="21" spans="1:12" x14ac:dyDescent="0.3">
      <c r="A21" t="s">
        <v>27</v>
      </c>
      <c r="C21" t="s">
        <v>83</v>
      </c>
      <c r="D21" s="3" t="s">
        <v>84</v>
      </c>
      <c r="F21">
        <v>4</v>
      </c>
      <c r="H21" s="2">
        <v>0.05</v>
      </c>
      <c r="I21" s="2">
        <f>Tableau2[[#This Row],[Qty/PCB]]*Tableau2[[#This Row],[Prix]]</f>
        <v>0.2</v>
      </c>
      <c r="K21" t="s">
        <v>26</v>
      </c>
    </row>
    <row r="22" spans="1:12" x14ac:dyDescent="0.3">
      <c r="A22" t="s">
        <v>63</v>
      </c>
      <c r="F22">
        <v>2</v>
      </c>
      <c r="H22" s="2">
        <v>2.4500000000000002</v>
      </c>
      <c r="I22" s="2">
        <f>Tableau2[[#This Row],[Qty/PCB]]*Tableau2[[#This Row],[Prix]]</f>
        <v>4.9000000000000004</v>
      </c>
      <c r="J22" s="4"/>
      <c r="K22" t="s">
        <v>71</v>
      </c>
      <c r="L22" t="s">
        <v>73</v>
      </c>
    </row>
    <row r="23" spans="1:12" x14ac:dyDescent="0.3">
      <c r="A23" t="s">
        <v>65</v>
      </c>
      <c r="F23">
        <v>1</v>
      </c>
      <c r="H23" s="2">
        <v>5.1999999999999998E-2</v>
      </c>
      <c r="I23" s="2">
        <f>Tableau2[[#This Row],[Qty/PCB]]*Tableau2[[#This Row],[Prix]]</f>
        <v>5.1999999999999998E-2</v>
      </c>
      <c r="J23" s="4"/>
      <c r="K23" t="s">
        <v>59</v>
      </c>
      <c r="L23" t="s">
        <v>69</v>
      </c>
    </row>
    <row r="24" spans="1:12" x14ac:dyDescent="0.3">
      <c r="A24" t="s">
        <v>66</v>
      </c>
      <c r="F24">
        <v>1</v>
      </c>
      <c r="H24" s="2">
        <v>5.1999999999999998E-2</v>
      </c>
      <c r="I24" s="2">
        <f>Tableau2[[#This Row],[Qty/PCB]]*Tableau2[[#This Row],[Prix]]</f>
        <v>5.1999999999999998E-2</v>
      </c>
      <c r="J24" s="4"/>
      <c r="K24" t="s">
        <v>59</v>
      </c>
      <c r="L24" t="s">
        <v>69</v>
      </c>
    </row>
    <row r="25" spans="1:12" x14ac:dyDescent="0.3">
      <c r="A25" t="s">
        <v>68</v>
      </c>
      <c r="F25">
        <v>1</v>
      </c>
      <c r="H25" s="2">
        <v>5.1999999999999998E-2</v>
      </c>
      <c r="I25" s="2">
        <f>Tableau2[[#This Row],[Qty/PCB]]*Tableau2[[#This Row],[Prix]]</f>
        <v>5.1999999999999998E-2</v>
      </c>
      <c r="J25" s="4"/>
      <c r="K25" t="s">
        <v>59</v>
      </c>
      <c r="L25" t="s">
        <v>69</v>
      </c>
    </row>
    <row r="26" spans="1:12" x14ac:dyDescent="0.3">
      <c r="A26" t="s">
        <v>67</v>
      </c>
      <c r="F26">
        <v>1</v>
      </c>
      <c r="H26" s="2">
        <v>5.1999999999999998E-2</v>
      </c>
      <c r="I26" s="2">
        <f>Tableau2[[#This Row],[Qty/PCB]]*Tableau2[[#This Row],[Prix]]</f>
        <v>5.1999999999999998E-2</v>
      </c>
      <c r="J26" s="4"/>
      <c r="K26" t="s">
        <v>59</v>
      </c>
      <c r="L26" t="s">
        <v>69</v>
      </c>
    </row>
    <row r="27" spans="1:12" x14ac:dyDescent="0.3">
      <c r="A27" t="s">
        <v>64</v>
      </c>
      <c r="D27" t="s">
        <v>72</v>
      </c>
      <c r="F27">
        <v>1</v>
      </c>
      <c r="H27" s="2">
        <v>4.25</v>
      </c>
      <c r="I27" s="2">
        <f>Tableau2[[#This Row],[Qty/PCB]]*Tableau2[[#This Row],[Prix]]</f>
        <v>4.25</v>
      </c>
      <c r="J27" s="4"/>
      <c r="K27" t="s">
        <v>71</v>
      </c>
      <c r="L27" t="s">
        <v>70</v>
      </c>
    </row>
    <row r="28" spans="1:12" x14ac:dyDescent="0.3">
      <c r="A28" t="s">
        <v>94</v>
      </c>
      <c r="F28">
        <v>1</v>
      </c>
      <c r="H28" s="2"/>
      <c r="I28" s="2">
        <f>Tableau2[[#This Row],[Qty/PCB]]*Tableau2[[#This Row],[Prix]]</f>
        <v>0</v>
      </c>
      <c r="J28" s="4"/>
    </row>
    <row r="29" spans="1:12" x14ac:dyDescent="0.3">
      <c r="A29" t="s">
        <v>76</v>
      </c>
      <c r="D29" t="s">
        <v>81</v>
      </c>
      <c r="F29">
        <v>1</v>
      </c>
      <c r="H29" s="2"/>
      <c r="I29" s="2">
        <f>Tableau2[[#This Row],[Qty/PCB]]*Tableau2[[#This Row],[Prix]]</f>
        <v>0</v>
      </c>
      <c r="J29" s="4"/>
      <c r="K29" t="s">
        <v>59</v>
      </c>
    </row>
    <row r="30" spans="1:12" x14ac:dyDescent="0.3">
      <c r="A30" t="s">
        <v>77</v>
      </c>
      <c r="F30">
        <v>2</v>
      </c>
      <c r="H30" s="2"/>
      <c r="I30" s="2">
        <f>Tableau2[[#This Row],[Qty/PCB]]*Tableau2[[#This Row],[Prix]]</f>
        <v>0</v>
      </c>
      <c r="J30" s="4"/>
      <c r="K30" t="s">
        <v>59</v>
      </c>
    </row>
    <row r="31" spans="1:12" x14ac:dyDescent="0.3">
      <c r="A31" t="s">
        <v>78</v>
      </c>
      <c r="D31" t="s">
        <v>79</v>
      </c>
      <c r="F31">
        <v>2</v>
      </c>
      <c r="H31" s="2">
        <v>0.05</v>
      </c>
      <c r="I31" s="2">
        <f>Tableau2[[#This Row],[Qty/PCB]]*Tableau2[[#This Row],[Prix]]</f>
        <v>0.1</v>
      </c>
      <c r="J31" s="4"/>
      <c r="K31" t="s">
        <v>59</v>
      </c>
    </row>
    <row r="32" spans="1:12" x14ac:dyDescent="0.3">
      <c r="A32" t="s">
        <v>78</v>
      </c>
      <c r="D32" t="s">
        <v>80</v>
      </c>
      <c r="F32">
        <v>2</v>
      </c>
      <c r="H32" s="2">
        <v>0.05</v>
      </c>
      <c r="I32" s="2">
        <f>Tableau2[[#This Row],[Qty/PCB]]*Tableau2[[#This Row],[Prix]]</f>
        <v>0.1</v>
      </c>
      <c r="J32" s="4"/>
      <c r="K32" t="s">
        <v>59</v>
      </c>
    </row>
    <row r="33" spans="1:9" x14ac:dyDescent="0.3">
      <c r="H33" s="2"/>
      <c r="I33" s="2"/>
    </row>
    <row r="34" spans="1:9" x14ac:dyDescent="0.3">
      <c r="A34" s="6" t="s">
        <v>34</v>
      </c>
      <c r="B34" s="6"/>
      <c r="C34" s="8">
        <v>46126</v>
      </c>
      <c r="D34" s="15" t="e" vm="1">
        <v>#VALUE!</v>
      </c>
      <c r="E34" s="16"/>
      <c r="F34" s="17"/>
      <c r="H34" s="2"/>
      <c r="I34" s="2"/>
    </row>
    <row r="35" spans="1:9" x14ac:dyDescent="0.3">
      <c r="A35" s="7" t="s">
        <v>33</v>
      </c>
      <c r="B35" s="7"/>
      <c r="C35" s="9" t="s">
        <v>32</v>
      </c>
      <c r="D35" s="18"/>
      <c r="E35" s="14"/>
      <c r="F35" s="19"/>
      <c r="H35" s="2"/>
      <c r="I35" s="2"/>
    </row>
    <row r="36" spans="1:9" x14ac:dyDescent="0.3">
      <c r="A36" s="7" t="s">
        <v>35</v>
      </c>
      <c r="B36" s="7"/>
      <c r="C36" s="9" t="s">
        <v>50</v>
      </c>
      <c r="D36" s="18"/>
      <c r="E36" s="14"/>
      <c r="F36" s="19"/>
    </row>
    <row r="37" spans="1:9" x14ac:dyDescent="0.3">
      <c r="A37" s="10" t="s">
        <v>36</v>
      </c>
      <c r="B37" s="10"/>
      <c r="C37" s="11" t="s">
        <v>37</v>
      </c>
      <c r="D37" s="20"/>
      <c r="E37" s="21"/>
      <c r="F37" s="22"/>
    </row>
    <row r="38" spans="1:9" x14ac:dyDescent="0.3">
      <c r="A38" s="1"/>
      <c r="B38" s="1"/>
    </row>
    <row r="39" spans="1:9" x14ac:dyDescent="0.3">
      <c r="A39" s="1"/>
      <c r="B39" s="1"/>
    </row>
    <row r="40" spans="1:9" x14ac:dyDescent="0.3">
      <c r="A40" s="1"/>
      <c r="B40" s="1"/>
    </row>
  </sheetData>
  <mergeCells count="2">
    <mergeCell ref="A1:L1"/>
    <mergeCell ref="D34:F37"/>
  </mergeCell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jules grucy</dc:creator>
  <cp:lastModifiedBy>Damien De Pascale</cp:lastModifiedBy>
  <dcterms:created xsi:type="dcterms:W3CDTF">2026-04-14T07:06:51Z</dcterms:created>
  <dcterms:modified xsi:type="dcterms:W3CDTF">2026-06-23T17:27:56Z</dcterms:modified>
</cp:coreProperties>
</file>