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43dc3239fed0de/PCB_Perso/PCB_IIm_Ligne/"/>
    </mc:Choice>
  </mc:AlternateContent>
  <xr:revisionPtr revIDLastSave="403" documentId="8_{D99A6803-265B-43E3-9609-960129D8CCE8}" xr6:coauthVersionLast="47" xr6:coauthVersionMax="47" xr10:uidLastSave="{8722E48D-2DF3-4A2A-B563-0D5FA706DD67}"/>
  <bookViews>
    <workbookView xWindow="-98" yWindow="-98" windowWidth="21795" windowHeight="12975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I35" i="1"/>
  <c r="I13" i="1"/>
  <c r="I22" i="1"/>
  <c r="I30" i="1"/>
  <c r="I19" i="1"/>
  <c r="I3" i="1"/>
  <c r="I4" i="1"/>
  <c r="I5" i="1"/>
  <c r="I6" i="1"/>
  <c r="I7" i="1"/>
  <c r="I8" i="1"/>
  <c r="I9" i="1"/>
  <c r="I10" i="1"/>
  <c r="I11" i="1"/>
  <c r="I12" i="1"/>
  <c r="I14" i="1"/>
  <c r="I15" i="1"/>
  <c r="I16" i="1"/>
  <c r="I17" i="1"/>
  <c r="I18" i="1"/>
  <c r="I20" i="1"/>
  <c r="I23" i="1"/>
  <c r="I24" i="1"/>
  <c r="I25" i="1"/>
  <c r="I26" i="1"/>
  <c r="I27" i="1"/>
  <c r="I28" i="1"/>
  <c r="I29" i="1"/>
  <c r="I31" i="1"/>
  <c r="I32" i="1"/>
  <c r="I33" i="1"/>
  <c r="I3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<sst xmlns="http://schemas.openxmlformats.org/spreadsheetml/2006/main" count="154" uniqueCount="113">
  <si>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</si>
  <si>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</si>
  <si>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</si>
  <si>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</si>
  <si>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</si>
  <si>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</si>
  <si>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</si>
  <si>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</si>
  <si>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G2RK-2 DC12</t>
  </si>
  <si>
    <t>Relai BiStable de Puissance</t>
  </si>
  <si>
    <t>Digikey</t>
  </si>
  <si>
    <t>Relai Bistable de Signal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</si>
  <si>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</si>
  <si>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</si>
  <si>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</si>
  <si>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</si>
  <si>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</si>
  <si>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</si>
  <si>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</si>
  <si>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</si>
  <si>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</si>
  <si>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</si>
  <si>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</si>
  <si>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</si>
  <si>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</si>
  <si>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</si>
  <si>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</si>
  <si>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</si>
  <si>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</si>
  <si>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</si>
  <si>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</si>
  <si>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</si>
  <si>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</si>
  <si>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</si>
  <si>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</si>
  <si>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</si>
  <si>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</si>
  <si>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</si>
  <si>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</si>
  <si>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</si>
  <si>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</si>
  <si>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</si>
  <si>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</si>
  <si>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</si>
  <si>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</si>
  <si>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</si>
  <si>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</si>
  <si>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</si>
  <si>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</si>
  <si>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</si>
  <si>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</si>
  <si>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</si>
  <si>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</si>
  <si>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</si>
  <si>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</si>
  <si>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</si>
  <si>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</si>
  <si>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</si>
  <si>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</si>
  <si>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</si>
  <si>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</si>
  <si>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</si>
  <si>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</si>
  <si>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</si>
  <si>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</si>
  <si>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</si>
  <si>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</si>
  <si>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</si>
  <si>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</si>
  <si>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</si>
  <si>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</si>
  <si>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</si>
  <si>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</si>
  <si>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</si>
  <si>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</si>
  <si>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</si>
  <si>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</si>
  <si>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</si>
  <si>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R1, R2, R5, R6</t>
  </si>
  <si>
    <t>Pour led</t>
  </si>
  <si>
    <t>R7</t>
  </si>
  <si>
    <t>R9, R18</t>
  </si>
  <si>
    <t>R8, R10, R13, R14, R19</t>
  </si>
  <si>
    <t>270R 1/4W</t>
  </si>
  <si>
    <t>1K 1/4W</t>
  </si>
  <si>
    <t>Capuchon pour pot</t>
  </si>
  <si>
    <t>~1000uF</t>
  </si>
  <si>
    <t>Finder</t>
  </si>
  <si>
    <t>https://www.conrad.ch/fr/p/finder-41-52-6-012-4016-relais-pour-circuits-imprimes-12-v-dc-8-a-2-inverseurs-rt-1-pc-s-1419696.html</t>
  </si>
  <si>
    <t>Impression 3D</t>
  </si>
  <si>
    <t>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</t>
  </si>
  <si>
    <t>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</t>
  </si>
  <si>
    <t>IRFU5305PBF</t>
  </si>
  <si>
    <t>https://www.conrad.ch/fr/p/infineon-technologies-irfu5305pbf-mosfet-1-canal-p-110-w-i-pak-162729.html?insert=UP</t>
  </si>
  <si>
    <t>470R  1/4W</t>
  </si>
  <si>
    <t>J1, J2, J4</t>
  </si>
  <si>
    <t>Resistance de Shunt</t>
  </si>
  <si>
    <t>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</t>
  </si>
  <si>
    <t>R3</t>
  </si>
  <si>
    <t>Diode Roue Libr Mosfet</t>
  </si>
  <si>
    <t>MUR420G</t>
  </si>
  <si>
    <t>https://www.digikey.ch/fr/products/detail/onsemi/MUR420G/1482828?s=N4IgTCBcDaILIFUBKAWMAGA4iAugXyA</t>
  </si>
  <si>
    <t>Onsemi</t>
  </si>
  <si>
    <t>D5</t>
  </si>
  <si>
    <t>Dissipateur termique</t>
  </si>
  <si>
    <t>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</t>
  </si>
  <si>
    <t xml:space="preserve">For </t>
  </si>
  <si>
    <t>Resistance Gate FET</t>
  </si>
  <si>
    <t>R14</t>
  </si>
  <si>
    <t>100R 5W</t>
  </si>
  <si>
    <t>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</t>
  </si>
  <si>
    <t>1R 2W</t>
  </si>
  <si>
    <t>R4, R12, R15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</si>
</sst>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5" formatCode="#,##0.00\ &quot;CHF&quot;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44" fontId="0" fillId="0" borderId="0" xfId="1" applyNumberFormat="1" applyFont="1"/>
    <xf numFmtId="165" fontId="0" fillId="0" borderId="0" xfId="1" applyNumberFormat="1" applyFont="1"/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L35" totalsRowShown="0" headerRowDxfId="4" headerRowBorderDxfId="3">
  <autoFilter ref="A2:L35" xr:uid="{69225E41-4DDD-470A-8E1A-242AA800D3ED}"/>
  <tableColumns count="12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h/fr/products/detail/diotec-semiconductor/1N4007/18833652" TargetMode="External"/><Relationship Id="rId1" Type="http://schemas.openxmlformats.org/officeDocument/2006/relationships/hyperlink" Target="https://www.conrad.ch/fr/p/finder-41-52-6-012-4016-relais-pour-circuits-imprimes-12-v-dc-8-a-2-inverseurs-rt-1-pc-s-1419696.html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L43"/>
  <sheetViews>
    <sheetView tabSelected="1" workbookViewId="0">
      <selection sqref="A1:L1"/>
    </sheetView>
  </sheetViews>
  <sheetFormatPr baseColWidth="10" defaultRowHeight="14.25" x14ac:dyDescent="0.45"/>
  <cols>
    <col min="1" max="1" width="25.53125" customWidth="1"/>
    <col min="2" max="2" width="18.1328125" customWidth="1"/>
    <col min="3" max="3" width="12.796875" customWidth="1"/>
    <col min="4" max="4" width="14.1328125" bestFit="1" customWidth="1"/>
    <col min="5" max="5" width="16.86328125" customWidth="1"/>
    <col min="9" max="9" width="12.1328125" customWidth="1"/>
    <col min="10" max="10" width="19.86328125" customWidth="1"/>
    <col min="11" max="11" width="12.46484375" customWidth="1"/>
    <col min="12" max="12" width="79.53125" customWidth="1"/>
  </cols>
  <sheetData>
    <row r="1" spans="1:12" x14ac:dyDescent="0.45">
      <c r="A1" s="15" t="s">
        <v>27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14.65" thickBot="1" x14ac:dyDescent="0.5">
      <c r="A2" s="12" t="s">
        <v>0</v>
      </c>
      <c r="B2" s="12" t="s">
        <v>34</v>
      </c>
      <c r="C2" s="13" t="s">
        <v>12</v>
      </c>
      <c r="D2" s="12" t="s">
        <v>22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20</v>
      </c>
      <c r="J2" s="12" t="s">
        <v>5</v>
      </c>
      <c r="K2" s="12" t="s">
        <v>6</v>
      </c>
      <c r="L2" s="12" t="s">
        <v>7</v>
      </c>
    </row>
    <row r="3" spans="1:12" x14ac:dyDescent="0.45">
      <c r="A3" t="s">
        <v>9</v>
      </c>
      <c r="C3" t="s">
        <v>13</v>
      </c>
      <c r="E3" t="s">
        <v>8</v>
      </c>
      <c r="F3">
        <v>1</v>
      </c>
      <c r="H3" s="25">
        <v>5.5</v>
      </c>
      <c r="I3" s="2">
        <f>Tableau2[[#This Row],[Qty/PCB]]*Tableau2[[#This Row],[Prix]]</f>
        <v>5.5</v>
      </c>
      <c r="J3" t="s">
        <v>87</v>
      </c>
      <c r="K3" t="s">
        <v>67</v>
      </c>
      <c r="L3" s="14" t="s">
        <v>88</v>
      </c>
    </row>
    <row r="4" spans="1:12" x14ac:dyDescent="0.45">
      <c r="A4" t="s">
        <v>11</v>
      </c>
      <c r="C4" t="s">
        <v>14</v>
      </c>
      <c r="F4">
        <v>1</v>
      </c>
      <c r="H4" s="2">
        <v>0.5</v>
      </c>
      <c r="I4" s="2">
        <f>Tableau2[[#This Row],[Qty/PCB]]*Tableau2[[#This Row],[Prix]]</f>
        <v>0.5</v>
      </c>
      <c r="K4" t="s">
        <v>23</v>
      </c>
    </row>
    <row r="5" spans="1:12" x14ac:dyDescent="0.45">
      <c r="A5" s="3">
        <v>555</v>
      </c>
      <c r="C5" t="s">
        <v>16</v>
      </c>
      <c r="E5" t="s">
        <v>35</v>
      </c>
      <c r="F5">
        <v>1</v>
      </c>
      <c r="H5" s="2">
        <v>0.68</v>
      </c>
      <c r="I5" s="2">
        <f>Tableau2[[#This Row],[Qty/PCB]]*Tableau2[[#This Row],[Prix]]</f>
        <v>0.68</v>
      </c>
      <c r="J5" t="s">
        <v>17</v>
      </c>
      <c r="K5" t="s">
        <v>10</v>
      </c>
      <c r="L5" t="s">
        <v>36</v>
      </c>
    </row>
    <row r="6" spans="1:12" x14ac:dyDescent="0.45">
      <c r="A6" t="s">
        <v>37</v>
      </c>
      <c r="C6" t="s">
        <v>15</v>
      </c>
      <c r="E6" t="s">
        <v>92</v>
      </c>
      <c r="F6">
        <v>1</v>
      </c>
      <c r="H6" s="2">
        <v>0.42</v>
      </c>
      <c r="I6" s="2">
        <f>Tableau2[[#This Row],[Qty/PCB]]*Tableau2[[#This Row],[Prix]]</f>
        <v>0.42</v>
      </c>
      <c r="J6" s="4" t="s">
        <v>43</v>
      </c>
      <c r="K6" t="s">
        <v>67</v>
      </c>
      <c r="L6" t="s">
        <v>93</v>
      </c>
    </row>
    <row r="7" spans="1:12" x14ac:dyDescent="0.45">
      <c r="A7" t="s">
        <v>37</v>
      </c>
      <c r="B7" s="3"/>
      <c r="C7" t="s">
        <v>38</v>
      </c>
      <c r="E7" t="s">
        <v>39</v>
      </c>
      <c r="F7">
        <v>3</v>
      </c>
      <c r="H7" s="2">
        <v>8.5000000000000006E-2</v>
      </c>
      <c r="I7" s="2">
        <f>Tableau2[[#This Row],[Qty/PCB]]*Tableau2[[#This Row],[Prix]]</f>
        <v>0.255</v>
      </c>
      <c r="J7" s="4" t="s">
        <v>18</v>
      </c>
      <c r="K7" t="s">
        <v>10</v>
      </c>
      <c r="L7" t="s">
        <v>40</v>
      </c>
    </row>
    <row r="8" spans="1:12" x14ac:dyDescent="0.45">
      <c r="A8" t="s">
        <v>41</v>
      </c>
      <c r="C8" t="s">
        <v>71</v>
      </c>
      <c r="E8" t="s">
        <v>42</v>
      </c>
      <c r="F8">
        <v>1</v>
      </c>
      <c r="H8" s="2">
        <v>2.48</v>
      </c>
      <c r="I8" s="2">
        <f>Tableau2[[#This Row],[Qty/PCB]]*Tableau2[[#This Row],[Prix]]</f>
        <v>2.48</v>
      </c>
      <c r="J8" s="4" t="s">
        <v>43</v>
      </c>
      <c r="K8" t="s">
        <v>10</v>
      </c>
      <c r="L8" t="s">
        <v>44</v>
      </c>
    </row>
    <row r="9" spans="1:12" x14ac:dyDescent="0.45">
      <c r="A9" t="s">
        <v>21</v>
      </c>
      <c r="C9" t="s">
        <v>45</v>
      </c>
      <c r="D9" t="s">
        <v>86</v>
      </c>
      <c r="F9">
        <v>2</v>
      </c>
      <c r="H9" s="2"/>
      <c r="I9" s="2">
        <f>Tableau2[[#This Row],[Qty/PCB]]*Tableau2[[#This Row],[Prix]]</f>
        <v>0</v>
      </c>
      <c r="J9" s="4"/>
    </row>
    <row r="10" spans="1:12" x14ac:dyDescent="0.45">
      <c r="A10" t="s">
        <v>21</v>
      </c>
      <c r="C10" t="s">
        <v>47</v>
      </c>
      <c r="D10" t="s">
        <v>48</v>
      </c>
      <c r="F10">
        <v>1</v>
      </c>
      <c r="H10" s="2">
        <v>0.05</v>
      </c>
      <c r="I10" s="2">
        <f>Tableau2[[#This Row],[Qty/PCB]]*Tableau2[[#This Row],[Prix]]</f>
        <v>0.05</v>
      </c>
      <c r="J10" s="4"/>
      <c r="K10" t="s">
        <v>23</v>
      </c>
    </row>
    <row r="11" spans="1:12" x14ac:dyDescent="0.45">
      <c r="A11" t="s">
        <v>21</v>
      </c>
      <c r="C11" t="s">
        <v>49</v>
      </c>
      <c r="D11" t="s">
        <v>50</v>
      </c>
      <c r="F11">
        <v>1</v>
      </c>
      <c r="H11" s="2">
        <v>0.05</v>
      </c>
      <c r="I11" s="2">
        <f>Tableau2[[#This Row],[Qty/PCB]]*Tableau2[[#This Row],[Prix]]</f>
        <v>0.05</v>
      </c>
      <c r="J11" s="4"/>
      <c r="K11" t="s">
        <v>23</v>
      </c>
    </row>
    <row r="12" spans="1:12" x14ac:dyDescent="0.45">
      <c r="A12" t="s">
        <v>21</v>
      </c>
      <c r="C12" t="s">
        <v>51</v>
      </c>
      <c r="D12" t="s">
        <v>52</v>
      </c>
      <c r="F12">
        <v>1</v>
      </c>
      <c r="H12" s="2"/>
      <c r="I12" s="2">
        <f>Tableau2[[#This Row],[Qty/PCB]]*Tableau2[[#This Row],[Prix]]</f>
        <v>0</v>
      </c>
      <c r="J12" s="4"/>
    </row>
    <row r="13" spans="1:12" x14ac:dyDescent="0.45">
      <c r="A13" t="s">
        <v>99</v>
      </c>
      <c r="C13" t="s">
        <v>103</v>
      </c>
      <c r="E13" t="s">
        <v>100</v>
      </c>
      <c r="F13">
        <v>1</v>
      </c>
      <c r="H13" s="2">
        <v>0.50900000000000001</v>
      </c>
      <c r="I13" s="24">
        <f>Tableau2[[#This Row],[Qty/PCB]]*Tableau2[[#This Row],[Prix]]</f>
        <v>0.50900000000000001</v>
      </c>
      <c r="J13" s="4" t="s">
        <v>102</v>
      </c>
      <c r="K13" t="s">
        <v>10</v>
      </c>
      <c r="L13" t="s">
        <v>101</v>
      </c>
    </row>
    <row r="14" spans="1:12" x14ac:dyDescent="0.45">
      <c r="A14" t="s">
        <v>53</v>
      </c>
      <c r="C14" t="s">
        <v>54</v>
      </c>
      <c r="D14" s="5"/>
      <c r="E14" t="s">
        <v>19</v>
      </c>
      <c r="F14">
        <v>4</v>
      </c>
      <c r="H14" s="2">
        <v>6.8000000000000005E-2</v>
      </c>
      <c r="I14" s="2">
        <f>Tableau2[[#This Row],[Qty/PCB]]*Tableau2[[#This Row],[Prix]]</f>
        <v>0.27200000000000002</v>
      </c>
      <c r="J14" s="4" t="s">
        <v>18</v>
      </c>
      <c r="K14" t="s">
        <v>10</v>
      </c>
      <c r="L14" s="14" t="s">
        <v>26</v>
      </c>
    </row>
    <row r="15" spans="1:12" x14ac:dyDescent="0.45">
      <c r="A15" t="s">
        <v>58</v>
      </c>
      <c r="C15" t="s">
        <v>95</v>
      </c>
      <c r="D15" t="s">
        <v>57</v>
      </c>
      <c r="F15">
        <v>3</v>
      </c>
      <c r="H15" s="2"/>
      <c r="I15" s="2">
        <f>Tableau2[[#This Row],[Qty/PCB]]*Tableau2[[#This Row],[Prix]]</f>
        <v>0</v>
      </c>
      <c r="J15" s="4"/>
      <c r="K15" t="s">
        <v>55</v>
      </c>
    </row>
    <row r="16" spans="1:12" x14ac:dyDescent="0.45">
      <c r="A16" t="s">
        <v>58</v>
      </c>
      <c r="C16" t="s">
        <v>25</v>
      </c>
      <c r="D16" t="s">
        <v>56</v>
      </c>
      <c r="F16">
        <v>1</v>
      </c>
      <c r="H16" s="2"/>
      <c r="I16" s="2">
        <f>Tableau2[[#This Row],[Qty/PCB]]*Tableau2[[#This Row],[Prix]]</f>
        <v>0</v>
      </c>
      <c r="K16" t="s">
        <v>55</v>
      </c>
    </row>
    <row r="17" spans="1:12" x14ac:dyDescent="0.45">
      <c r="A17" t="s">
        <v>24</v>
      </c>
      <c r="C17" t="s">
        <v>82</v>
      </c>
      <c r="D17" t="s">
        <v>70</v>
      </c>
      <c r="F17">
        <v>5</v>
      </c>
      <c r="H17" s="2">
        <v>0.05</v>
      </c>
      <c r="I17" s="2">
        <f>Tableau2[[#This Row],[Qty/PCB]]*Tableau2[[#This Row],[Prix]]</f>
        <v>0.25</v>
      </c>
      <c r="J17" s="4"/>
      <c r="K17" t="s">
        <v>23</v>
      </c>
    </row>
    <row r="18" spans="1:12" x14ac:dyDescent="0.45">
      <c r="A18" t="s">
        <v>24</v>
      </c>
      <c r="C18" t="s">
        <v>112</v>
      </c>
      <c r="D18" t="s">
        <v>84</v>
      </c>
      <c r="F18">
        <v>3</v>
      </c>
      <c r="H18" s="2">
        <v>0.05</v>
      </c>
      <c r="I18" s="2">
        <f>Tableau2[[#This Row],[Qty/PCB]]*Tableau2[[#This Row],[Prix]]</f>
        <v>0.15000000000000002</v>
      </c>
      <c r="J18" s="4"/>
      <c r="K18" t="s">
        <v>23</v>
      </c>
    </row>
    <row r="19" spans="1:12" x14ac:dyDescent="0.45">
      <c r="A19" t="s">
        <v>24</v>
      </c>
      <c r="C19" t="s">
        <v>80</v>
      </c>
      <c r="D19" t="s">
        <v>94</v>
      </c>
      <c r="F19">
        <v>1</v>
      </c>
      <c r="H19" s="2">
        <v>0.05</v>
      </c>
      <c r="I19" s="2">
        <f>Tableau2[[#This Row],[Qty/PCB]]*Tableau2[[#This Row],[Prix]]</f>
        <v>0.05</v>
      </c>
      <c r="J19" s="4"/>
      <c r="K19" t="s">
        <v>23</v>
      </c>
    </row>
    <row r="20" spans="1:12" x14ac:dyDescent="0.45">
      <c r="A20" t="s">
        <v>24</v>
      </c>
      <c r="C20" t="s">
        <v>81</v>
      </c>
      <c r="D20" s="3" t="s">
        <v>83</v>
      </c>
      <c r="F20">
        <v>2</v>
      </c>
      <c r="H20" s="2">
        <v>0.05</v>
      </c>
      <c r="I20" s="2">
        <f>Tableau2[[#This Row],[Qty/PCB]]*Tableau2[[#This Row],[Prix]]</f>
        <v>0.1</v>
      </c>
      <c r="J20" s="4"/>
      <c r="K20" t="s">
        <v>23</v>
      </c>
    </row>
    <row r="21" spans="1:12" x14ac:dyDescent="0.45">
      <c r="A21" t="s">
        <v>107</v>
      </c>
      <c r="C21" t="s">
        <v>108</v>
      </c>
      <c r="D21" s="3" t="s">
        <v>109</v>
      </c>
      <c r="F21">
        <v>1</v>
      </c>
      <c r="H21" s="2">
        <v>0.15</v>
      </c>
      <c r="I21" s="24">
        <f>Tableau2[[#This Row],[Qty/PCB]]*Tableau2[[#This Row],[Prix]]</f>
        <v>0.15</v>
      </c>
      <c r="J21" s="4"/>
      <c r="K21" t="s">
        <v>55</v>
      </c>
      <c r="L21" t="s">
        <v>110</v>
      </c>
    </row>
    <row r="22" spans="1:12" x14ac:dyDescent="0.45">
      <c r="A22" t="s">
        <v>96</v>
      </c>
      <c r="C22" t="s">
        <v>98</v>
      </c>
      <c r="D22" s="3" t="s">
        <v>111</v>
      </c>
      <c r="F22">
        <v>1</v>
      </c>
      <c r="H22" s="2">
        <v>0.08</v>
      </c>
      <c r="I22" s="24">
        <f>Tableau2[[#This Row],[Qty/PCB]]*Tableau2[[#This Row],[Prix]]</f>
        <v>0.08</v>
      </c>
      <c r="J22" s="4"/>
      <c r="K22" t="s">
        <v>55</v>
      </c>
      <c r="L22" t="s">
        <v>97</v>
      </c>
    </row>
    <row r="23" spans="1:12" x14ac:dyDescent="0.45">
      <c r="A23" t="s">
        <v>24</v>
      </c>
      <c r="C23" t="s">
        <v>78</v>
      </c>
      <c r="D23" s="3" t="s">
        <v>79</v>
      </c>
      <c r="F23">
        <v>4</v>
      </c>
      <c r="H23" s="2">
        <v>0.05</v>
      </c>
      <c r="I23" s="2">
        <f>Tableau2[[#This Row],[Qty/PCB]]*Tableau2[[#This Row],[Prix]]</f>
        <v>0.2</v>
      </c>
      <c r="K23" t="s">
        <v>23</v>
      </c>
    </row>
    <row r="24" spans="1:12" x14ac:dyDescent="0.45">
      <c r="A24" t="s">
        <v>59</v>
      </c>
      <c r="F24">
        <v>2</v>
      </c>
      <c r="H24" s="2">
        <v>2.4500000000000002</v>
      </c>
      <c r="I24" s="2">
        <f>Tableau2[[#This Row],[Qty/PCB]]*Tableau2[[#This Row],[Prix]]</f>
        <v>4.9000000000000004</v>
      </c>
      <c r="J24" s="4"/>
      <c r="K24" t="s">
        <v>67</v>
      </c>
      <c r="L24" t="s">
        <v>69</v>
      </c>
    </row>
    <row r="25" spans="1:12" x14ac:dyDescent="0.45">
      <c r="A25" t="s">
        <v>61</v>
      </c>
      <c r="F25">
        <v>1</v>
      </c>
      <c r="H25" s="2">
        <v>5.1999999999999998E-2</v>
      </c>
      <c r="I25" s="2">
        <f>Tableau2[[#This Row],[Qty/PCB]]*Tableau2[[#This Row],[Prix]]</f>
        <v>5.1999999999999998E-2</v>
      </c>
      <c r="J25" s="4"/>
      <c r="K25" t="s">
        <v>55</v>
      </c>
      <c r="L25" t="s">
        <v>65</v>
      </c>
    </row>
    <row r="26" spans="1:12" x14ac:dyDescent="0.45">
      <c r="A26" t="s">
        <v>62</v>
      </c>
      <c r="F26">
        <v>1</v>
      </c>
      <c r="H26" s="2">
        <v>5.1999999999999998E-2</v>
      </c>
      <c r="I26" s="2">
        <f>Tableau2[[#This Row],[Qty/PCB]]*Tableau2[[#This Row],[Prix]]</f>
        <v>5.1999999999999998E-2</v>
      </c>
      <c r="J26" s="4"/>
      <c r="K26" t="s">
        <v>55</v>
      </c>
      <c r="L26" t="s">
        <v>65</v>
      </c>
    </row>
    <row r="27" spans="1:12" x14ac:dyDescent="0.45">
      <c r="A27" t="s">
        <v>64</v>
      </c>
      <c r="F27">
        <v>1</v>
      </c>
      <c r="H27" s="2">
        <v>5.1999999999999998E-2</v>
      </c>
      <c r="I27" s="2">
        <f>Tableau2[[#This Row],[Qty/PCB]]*Tableau2[[#This Row],[Prix]]</f>
        <v>5.1999999999999998E-2</v>
      </c>
      <c r="J27" s="4"/>
      <c r="K27" t="s">
        <v>55</v>
      </c>
      <c r="L27" t="s">
        <v>65</v>
      </c>
    </row>
    <row r="28" spans="1:12" x14ac:dyDescent="0.45">
      <c r="A28" t="s">
        <v>63</v>
      </c>
      <c r="F28">
        <v>1</v>
      </c>
      <c r="H28" s="2">
        <v>5.1999999999999998E-2</v>
      </c>
      <c r="I28" s="2">
        <f>Tableau2[[#This Row],[Qty/PCB]]*Tableau2[[#This Row],[Prix]]</f>
        <v>5.1999999999999998E-2</v>
      </c>
      <c r="J28" s="4"/>
      <c r="K28" t="s">
        <v>55</v>
      </c>
      <c r="L28" t="s">
        <v>65</v>
      </c>
    </row>
    <row r="29" spans="1:12" x14ac:dyDescent="0.45">
      <c r="A29" t="s">
        <v>60</v>
      </c>
      <c r="D29" t="s">
        <v>68</v>
      </c>
      <c r="F29">
        <v>1</v>
      </c>
      <c r="H29" s="2">
        <v>4.25</v>
      </c>
      <c r="I29" s="2">
        <f>Tableau2[[#This Row],[Qty/PCB]]*Tableau2[[#This Row],[Prix]]</f>
        <v>4.25</v>
      </c>
      <c r="J29" s="4"/>
      <c r="K29" t="s">
        <v>67</v>
      </c>
      <c r="L29" t="s">
        <v>66</v>
      </c>
    </row>
    <row r="30" spans="1:12" x14ac:dyDescent="0.45">
      <c r="A30" t="s">
        <v>85</v>
      </c>
      <c r="F30">
        <v>1</v>
      </c>
      <c r="H30" s="2">
        <v>1</v>
      </c>
      <c r="I30" s="2">
        <f>Tableau2[[#This Row],[Qty/PCB]]*Tableau2[[#This Row],[Prix]]</f>
        <v>1</v>
      </c>
      <c r="J30" s="4"/>
      <c r="K30" t="s">
        <v>89</v>
      </c>
    </row>
    <row r="31" spans="1:12" x14ac:dyDescent="0.45">
      <c r="A31" t="s">
        <v>72</v>
      </c>
      <c r="D31" t="s">
        <v>77</v>
      </c>
      <c r="F31">
        <v>1</v>
      </c>
      <c r="H31" s="2">
        <v>1.52</v>
      </c>
      <c r="I31" s="2">
        <f>Tableau2[[#This Row],[Qty/PCB]]*Tableau2[[#This Row],[Prix]]</f>
        <v>1.52</v>
      </c>
      <c r="J31" s="4"/>
      <c r="K31" t="s">
        <v>55</v>
      </c>
      <c r="L31" t="s">
        <v>90</v>
      </c>
    </row>
    <row r="32" spans="1:12" x14ac:dyDescent="0.45">
      <c r="A32" t="s">
        <v>73</v>
      </c>
      <c r="F32">
        <v>2</v>
      </c>
      <c r="H32" s="2">
        <v>0.43</v>
      </c>
      <c r="I32" s="2">
        <f>Tableau2[[#This Row],[Qty/PCB]]*Tableau2[[#This Row],[Prix]]</f>
        <v>0.86</v>
      </c>
      <c r="J32" s="4"/>
      <c r="K32" t="s">
        <v>55</v>
      </c>
      <c r="L32" t="s">
        <v>91</v>
      </c>
    </row>
    <row r="33" spans="1:12" x14ac:dyDescent="0.45">
      <c r="A33" t="s">
        <v>74</v>
      </c>
      <c r="D33" t="s">
        <v>75</v>
      </c>
      <c r="F33">
        <v>2</v>
      </c>
      <c r="H33" s="2">
        <v>0.05</v>
      </c>
      <c r="I33" s="2">
        <f>Tableau2[[#This Row],[Qty/PCB]]*Tableau2[[#This Row],[Prix]]</f>
        <v>0.1</v>
      </c>
      <c r="J33" s="4"/>
      <c r="K33" t="s">
        <v>55</v>
      </c>
    </row>
    <row r="34" spans="1:12" x14ac:dyDescent="0.45">
      <c r="A34" t="s">
        <v>74</v>
      </c>
      <c r="D34" t="s">
        <v>76</v>
      </c>
      <c r="F34">
        <v>2</v>
      </c>
      <c r="H34" s="2">
        <v>0.05</v>
      </c>
      <c r="I34" s="2">
        <f>Tableau2[[#This Row],[Qty/PCB]]*Tableau2[[#This Row],[Prix]]</f>
        <v>0.1</v>
      </c>
      <c r="J34" s="4"/>
      <c r="K34" t="s">
        <v>55</v>
      </c>
    </row>
    <row r="35" spans="1:12" x14ac:dyDescent="0.45">
      <c r="A35" t="s">
        <v>104</v>
      </c>
      <c r="D35" t="s">
        <v>106</v>
      </c>
      <c r="F35">
        <v>1</v>
      </c>
      <c r="H35" s="2">
        <v>0.15</v>
      </c>
      <c r="I35" s="24">
        <f>Tableau2[[#This Row],[Qty/PCB]]*Tableau2[[#This Row],[Prix]]</f>
        <v>0.15</v>
      </c>
      <c r="J35" s="4"/>
      <c r="K35" t="s">
        <v>55</v>
      </c>
      <c r="L35" t="s">
        <v>105</v>
      </c>
    </row>
    <row r="36" spans="1:12" x14ac:dyDescent="0.45">
      <c r="H36" s="2"/>
      <c r="I36" s="2"/>
    </row>
    <row r="37" spans="1:12" x14ac:dyDescent="0.45">
      <c r="A37" s="6" t="s">
        <v>30</v>
      </c>
      <c r="B37" s="6"/>
      <c r="C37" s="8">
        <v>46126</v>
      </c>
      <c r="D37" s="16" t="e" vm="1">
        <v>#VALUE!</v>
      </c>
      <c r="E37" s="17"/>
      <c r="F37" s="18"/>
      <c r="H37" s="2"/>
      <c r="I37" s="2"/>
    </row>
    <row r="38" spans="1:12" x14ac:dyDescent="0.45">
      <c r="A38" s="7" t="s">
        <v>29</v>
      </c>
      <c r="B38" s="7"/>
      <c r="C38" s="9" t="s">
        <v>28</v>
      </c>
      <c r="D38" s="19"/>
      <c r="E38" s="15"/>
      <c r="F38" s="20"/>
      <c r="H38" s="2"/>
      <c r="I38" s="2"/>
    </row>
    <row r="39" spans="1:12" x14ac:dyDescent="0.45">
      <c r="A39" s="7" t="s">
        <v>31</v>
      </c>
      <c r="B39" s="7"/>
      <c r="C39" s="9" t="s">
        <v>46</v>
      </c>
      <c r="D39" s="19"/>
      <c r="E39" s="15"/>
      <c r="F39" s="20"/>
    </row>
    <row r="40" spans="1:12" x14ac:dyDescent="0.45">
      <c r="A40" s="10" t="s">
        <v>32</v>
      </c>
      <c r="B40" s="10"/>
      <c r="C40" s="11" t="s">
        <v>33</v>
      </c>
      <c r="D40" s="21"/>
      <c r="E40" s="22"/>
      <c r="F40" s="23"/>
    </row>
    <row r="41" spans="1:12" x14ac:dyDescent="0.45">
      <c r="A41" s="1"/>
      <c r="B41" s="1"/>
    </row>
    <row r="42" spans="1:12" x14ac:dyDescent="0.45">
      <c r="A42" s="1"/>
      <c r="B42" s="1"/>
    </row>
    <row r="43" spans="1:12" x14ac:dyDescent="0.45">
      <c r="A43" s="1"/>
      <c r="B43" s="1"/>
    </row>
  </sheetData>
  <mergeCells count="2">
    <mergeCell ref="A1:L1"/>
    <mergeCell ref="D37:F40"/>
  </mergeCells>
  <hyperlinks>
    <hyperlink ref="L3" r:id="rId1" xr:uid="{B3065FAB-E838-4A51-A82F-630335C42D81}"/>
    <hyperlink ref="L14" r:id="rId2" xr:uid="{2207D865-CE83-4458-802D-86175171E33D}"/>
  </hyperlinks>
  <pageMargins left="0.7" right="0.7" top="0.75" bottom="0.75" header="0.3" footer="0.3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jules grucy</cp:lastModifiedBy>
  <cp:lastPrinted>2026-08-12T20:11:56Z</cp:lastPrinted>
  <dcterms:created xsi:type="dcterms:W3CDTF">2026-04-14T07:06:51Z</dcterms:created>
  <dcterms:modified xsi:type="dcterms:W3CDTF">2026-08-13T15:23:27Z</dcterms:modified>
</cp:coreProperties>
</file>