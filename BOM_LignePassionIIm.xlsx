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43dc3239fed0de/PCB_Perso/PCB_IIm_Ligne/"/>
    </mc:Choice>
  </mc:AlternateContent>
  <xr:revisionPtr revIDLastSave="477" documentId="8_{D99A6803-265B-43E3-9609-960129D8CCE8}" xr6:coauthVersionLast="47" xr6:coauthVersionMax="47" xr10:uidLastSave="{7FA07D59-A12E-4907-8F0E-A2CAF75EACC1}"/>
  <bookViews>
    <workbookView xWindow="-98" yWindow="-98" windowWidth="21795" windowHeight="12975" xr2:uid="{C3AD9156-7CE6-4A1E-A3FD-D08ECF3800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5" i="1"/>
  <c r="I15" i="1"/>
  <c r="I23" i="1"/>
  <c r="I6" i="1"/>
  <c r="I26" i="1"/>
  <c r="I32" i="1"/>
  <c r="I16" i="1"/>
  <c r="I27" i="1"/>
  <c r="I20" i="1"/>
  <c r="I17" i="1"/>
  <c r="I21" i="1"/>
  <c r="I22" i="1"/>
  <c r="I35" i="1"/>
  <c r="I28" i="1"/>
  <c r="I29" i="1"/>
  <c r="I36" i="1"/>
  <c r="I24" i="1"/>
  <c r="I3" i="1"/>
  <c r="I4" i="1"/>
  <c r="I30" i="1"/>
  <c r="I31" i="1"/>
  <c r="I33" i="1"/>
  <c r="I34" i="1"/>
  <c r="I18" i="1"/>
  <c r="I7" i="1"/>
  <c r="I8" i="1"/>
  <c r="I9" i="1"/>
  <c r="I10" i="1"/>
  <c r="I19" i="1"/>
  <c r="I11" i="1"/>
  <c r="I12" i="1"/>
  <c r="I13" i="1"/>
  <c r="I1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<sst xmlns="http://schemas.openxmlformats.org/spreadsheetml/2006/main" count="178" uniqueCount="121">
  <si>
    <t>Quoi</t>
  </si>
  <si>
    <t xml:space="preserve">Reference </t>
  </si>
  <si>
    <t>Qty/PCB</t>
  </si>
  <si>
    <t>Qty/Tot</t>
  </si>
  <si>
    <t>Prix</t>
  </si>
  <si>
    <t>Fabriquant</t>
  </si>
  <si>
    <t xml:space="preserve">Fournisseur </t>
  </si>
  <si>
    <t xml:space="preserve">Lien </t>
  </si>
  <si>
    <t>Relai BiStable de Puissance</t>
  </si>
  <si>
    <t>Digikey</t>
  </si>
  <si>
    <t>Relai Bistable de Signal</t>
  </si>
  <si>
    <t>Ref PCB</t>
  </si>
  <si>
    <t>K1</t>
  </si>
  <si>
    <t>K2</t>
  </si>
  <si>
    <t>Q1</t>
  </si>
  <si>
    <t>U1</t>
  </si>
  <si>
    <t>TI</t>
  </si>
  <si>
    <t>Diotec Semiconductor</t>
  </si>
  <si>
    <t>1N4007</t>
  </si>
  <si>
    <t>PrixTot/PCB</t>
  </si>
  <si>
    <t>Condensateur</t>
  </si>
  <si>
    <t>Valeur</t>
  </si>
  <si>
    <t>Stock</t>
  </si>
  <si>
    <t>Resistance</t>
  </si>
  <si>
    <t>J3</t>
  </si>
  <si>
    <t>https://www.digikey.ch/fr/products/detail/diotec-semiconductor/1N4007/18833652</t>
  </si>
  <si>
    <t>BOM - PCB Bloc de Ligne Passion IIM</t>
  </si>
  <si>
    <t>Jules Grucy</t>
  </si>
  <si>
    <t xml:space="preserve">Auteur : </t>
  </si>
  <si>
    <t xml:space="preserve">Date : </t>
  </si>
  <si>
    <t xml:space="preserve">Revision : </t>
  </si>
  <si>
    <t>Approbateur :</t>
  </si>
  <si>
    <t>Damien De P.</t>
  </si>
  <si>
    <t>Variante</t>
  </si>
  <si>
    <t>TLC555CP</t>
  </si>
  <si>
    <t>https://www.digikey.ch/fr/products/detail/texas-instruments/TLC555CP/277502</t>
  </si>
  <si>
    <t>Transistor</t>
  </si>
  <si>
    <t>Q2, Q3, Q4</t>
  </si>
  <si>
    <t>2N2222A</t>
  </si>
  <si>
    <t>https://www.digikey.ch/fr/products/detail/diotec-semiconductor/2N2222A/13164037</t>
  </si>
  <si>
    <t>Mosfet</t>
  </si>
  <si>
    <t>IRF4905PBF</t>
  </si>
  <si>
    <t>Infineon Technologie</t>
  </si>
  <si>
    <t>https://www.digikey.ch/fr/products/detail/infineon-technologies/IRF4905PBF/812139</t>
  </si>
  <si>
    <t>C1, C2</t>
  </si>
  <si>
    <t>V2</t>
  </si>
  <si>
    <t>C3</t>
  </si>
  <si>
    <t>100nF</t>
  </si>
  <si>
    <t>C4</t>
  </si>
  <si>
    <t>1nF</t>
  </si>
  <si>
    <t>C5</t>
  </si>
  <si>
    <t>270nF</t>
  </si>
  <si>
    <t>Diode</t>
  </si>
  <si>
    <t>D1, D2, D3, D4</t>
  </si>
  <si>
    <t>AliExpress</t>
  </si>
  <si>
    <t>P5.08mm</t>
  </si>
  <si>
    <t>P2.54mm</t>
  </si>
  <si>
    <t>Borne a Vis</t>
  </si>
  <si>
    <t>Connecteur DIN</t>
  </si>
  <si>
    <t>Potentiometre</t>
  </si>
  <si>
    <t>Fiche Banane Rouge</t>
  </si>
  <si>
    <t>Fiche Banane Noir</t>
  </si>
  <si>
    <t>Fiche Banane Jaune</t>
  </si>
  <si>
    <t>Fiche Banane Bleu</t>
  </si>
  <si>
    <t>https://de.aliexpress.com/item/1005011562556892.html?spm=a2g0o.productlist.main.16.6cc12ea0bxeVQp&amp;utparam-url=scene%3Asearch%7Cquery_from%3Apc_back_same_best%7Cx_object_id%3A1005011562556892%7C_p_origin_prod%3A&amp;algo_pvid=50ab7cf4-e162-4535-b9d9-a2be6ca5b335&amp;pdp_ext_f=%7B%22order%22%3A%227%22%2C%22fromPage%22%3A%22search%22%7D</t>
  </si>
  <si>
    <t>https://www.conrad.ch/fr/p/potentiometre-rotatif-weltron-wcip20cips-08-60f1-4k7-20-lin-002045038962-avec-interrupteur-mono-0-4-w-4-7-k-1-pc-s-441128.html?refresh=true</t>
  </si>
  <si>
    <t>Conrad</t>
  </si>
  <si>
    <t>4K7</t>
  </si>
  <si>
    <t>https://www.conrad.ch/de/p/tru-components-tc-13895648-rundsteckverbinder-stecker-buchsenkontakt-gesamtpolzahl-6-serie-rundsteckverbinder-gx16-3473912.html?insert=UP&amp;WT.srch=1&amp;ef_id=CjwKCAjw5s_QBhAdEiwADD_gBlB0NtPFlP1PxWWOBrmvbSo2JJn5T44wcE8r8-Hav4RDqu4GGAYJ1RoCRWEQAvD_BwE:G:s</t>
  </si>
  <si>
    <t>10K</t>
  </si>
  <si>
    <t>Q6</t>
  </si>
  <si>
    <t>Interrupteur</t>
  </si>
  <si>
    <t>Bouton poussoir</t>
  </si>
  <si>
    <t>Led</t>
  </si>
  <si>
    <t>vertes</t>
  </si>
  <si>
    <t>jaunes</t>
  </si>
  <si>
    <t>3 pos 3 cont</t>
  </si>
  <si>
    <t>R1, R2, R5, R6</t>
  </si>
  <si>
    <t>Pour led</t>
  </si>
  <si>
    <t>R7</t>
  </si>
  <si>
    <t>R9, R18</t>
  </si>
  <si>
    <t>R8, R10, R13, R14, R19</t>
  </si>
  <si>
    <t>270R 1/4W</t>
  </si>
  <si>
    <t>1K 1/4W</t>
  </si>
  <si>
    <t>Capuchon pour pot</t>
  </si>
  <si>
    <t>~1000uF</t>
  </si>
  <si>
    <t>Finder</t>
  </si>
  <si>
    <t>https://www.conrad.ch/fr/p/finder-41-52-6-012-4016-relais-pour-circuits-imprimes-12-v-dc-8-a-2-inverseurs-rt-1-pc-s-1419696.html</t>
  </si>
  <si>
    <t>Impression 3D</t>
  </si>
  <si>
    <t>https://de.aliexpress.com/item/1005012410174447.html?spm=a2g0o.productlist.main.3.1c57pPLrpPLrXF&amp;algo_pvid=8d846d87-e1c7-4911-9404-42bf57029f2f&amp;pdp_ext_f=%7B%22order%22%3A%223%22%2C%22eval%22%3A%221%22%2C%22fromPage%22%3A%22search%22%7D&amp;utparam-url=scene%3Asearch%7Cquery_from%3A%7Cx_object_id%3A1005012410174447%7C_p_origin_prod%3A</t>
  </si>
  <si>
    <t>https://de.aliexpress.com/item/1005008777027854.html?spm=a2g0o.productlist.main.3.34a9f054Jnh2d5&amp;algo_pvid=a3217470-cd61-4707-8b2f-7d76497918d0&amp;pdp_ext_f=%7B%22order%22%3A%221295%22%2C%22spu_best_type%22%3A%22price%22%2C%22eval%22%3A%221%22%2C%22fromPage%22%3A%22search%22%7D&amp;utparam-url=scene%3Asearch%7Cquery_from%3A%7Cx_object_id%3A1005008777027854%7C_p_origin_prod%3A</t>
  </si>
  <si>
    <t>IRFU5305PBF</t>
  </si>
  <si>
    <t>https://www.conrad.ch/fr/p/infineon-technologies-irfu5305pbf-mosfet-1-canal-p-110-w-i-pak-162729.html?insert=UP</t>
  </si>
  <si>
    <t>470R  1/4W</t>
  </si>
  <si>
    <t>J1, J2, J4</t>
  </si>
  <si>
    <t>Resistance de Shunt</t>
  </si>
  <si>
    <t>https://de.aliexpress.com/item/1005004002774546.html?spm=a2g0o.productlist.main.6.18ab20bbmHcGED&amp;aem_p4p_detail=202608121236371154182288705600000113625&amp;algo_pvid=00e039e6-f960-4780-bcc3-bce9310ef85b&amp;pdp_ext_f=%7B%22order%22%3A%222407%22%2C%22eval%22%3A%221%22%2C%22fromPage%22%3A%22search%22%7D&amp;utparam-url=scene%3Asearch%7Cquery_from%3A%7Cx_object_id%3A1005004002774546%7C_p_origin_prod%3A&amp;search_p4p_id=202608121236371154182288705600000113625_10</t>
  </si>
  <si>
    <t>R3</t>
  </si>
  <si>
    <t>Diode Roue Libr Mosfet</t>
  </si>
  <si>
    <t>MUR420G</t>
  </si>
  <si>
    <t>https://www.digikey.ch/fr/products/detail/onsemi/MUR420G/1482828?s=N4IgTCBcDaILIFUBKAWMAGA4iAugXyA</t>
  </si>
  <si>
    <t>Onsemi</t>
  </si>
  <si>
    <t>D5</t>
  </si>
  <si>
    <t>Dissipateur termique</t>
  </si>
  <si>
    <t>https://de.aliexpress.com/item/32676786935.html?spm=a2g0o.productlist.main.10.79176c53yfCzKI&amp;algo_pvid=595eca82-0e86-47a6-9df1-3203eee67bde&amp;pdp_ext_f=%7B%22order%22%3A%22175%22%2C%22eval%22%3A%221%22%2C%22fromPage%22%3A%22search%22%7D&amp;utparam-url=scene%3Asearch%7Cquery_from%3A%7Cx_object_id%3A32676786935%7C_p_origin_prod%3A</t>
  </si>
  <si>
    <t>Resistance Gate FET</t>
  </si>
  <si>
    <t>R14</t>
  </si>
  <si>
    <t>100R 5W</t>
  </si>
  <si>
    <t>https://de.aliexpress.com/item/1005005674103930.html?spm=a2g0o.productlist.main.1.637ejuNajuNa2p&amp;algo_pvid=b22cab55-934f-49f0-ab1c-9d69b66ca252&amp;pdp_ext_f=%7B%22order%22%3A%223052%22%2C%22eval%22%3A%221%22%2C%22fromPage%22%3A%22search%22%7D&amp;utparam-url=scene%3Asearch%7Cquery_from%3A%7Cx_object_id%3A1005005674103930%7C_p_origin_prod%3A</t>
  </si>
  <si>
    <t>1R 2W</t>
  </si>
  <si>
    <t>R4, R12, R15</t>
  </si>
  <si>
    <t>41.52.6.012.4016</t>
  </si>
  <si>
    <t>Diode Zener</t>
  </si>
  <si>
    <t>D6</t>
  </si>
  <si>
    <t>1N4733A</t>
  </si>
  <si>
    <t>https://www.digikey.ch/fr/products/detail/onsemi/1n4733a/977210</t>
  </si>
  <si>
    <t>Toutes</t>
  </si>
  <si>
    <t>2 Arduino 4 Autres</t>
  </si>
  <si>
    <t>Etat</t>
  </si>
  <si>
    <t>Commandé</t>
  </si>
  <si>
    <t>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</si>
</sst>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4" formatCode="#,##0.00\ &quot;CHF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1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4" fillId="0" borderId="0" xfId="2"/>
    <xf numFmtId="164" fontId="0" fillId="0" borderId="0" xfId="1" applyNumberFormat="1" applyFont="1"/>
    <xf numFmtId="0" fontId="5" fillId="0" borderId="0" xfId="0" applyFont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Lien hypertexte" xfId="2" builtinId="8"/>
    <cellStyle name="Monétaire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* #,##0.00\ &quot;CHF&quot;_-;\-* #,##0.00\ &quot;CHF&quot;_-;_-* &quot;-&quot;??\ &quot;CHF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25E41-4DDD-470A-8E1A-242AA800D3ED}" name="Tableau2" displayName="Tableau2" ref="A2:M36" totalsRowShown="0" headerRowDxfId="4" headerRowBorderDxfId="3">
  <autoFilter ref="A2:M36" xr:uid="{69225E41-4DDD-470A-8E1A-242AA800D3ED}"/>
  <sortState xmlns:xlrd2="http://schemas.microsoft.com/office/spreadsheetml/2017/richdata2" ref="A3:L36">
    <sortCondition ref="K2:K36"/>
  </sortState>
  <tableColumns count="13">
    <tableColumn id="1" xr3:uid="{4A89CEB1-B61F-4362-A305-55FE015108C9}" name="Quoi"/>
    <tableColumn id="12" xr3:uid="{DA7C8F96-35E1-4693-8B7A-073C30B6A014}" name="Variante"/>
    <tableColumn id="2" xr3:uid="{533B1CA6-1DE1-465B-9356-A9DA86FED988}" name="Ref PCB"/>
    <tableColumn id="3" xr3:uid="{10B8C4AC-F2D1-42F7-8965-EAC3276E0D7D}" name="Valeur"/>
    <tableColumn id="4" xr3:uid="{467AFC27-2172-45DF-983F-2D2881392CDC}" name="Reference "/>
    <tableColumn id="5" xr3:uid="{99AE4783-A1AE-4A59-8D0A-2F21D4650621}" name="Qty/PCB"/>
    <tableColumn id="6" xr3:uid="{7DFEF622-3863-4E1B-9C42-44C137F57007}" name="Qty/Tot"/>
    <tableColumn id="7" xr3:uid="{395CF200-6735-4436-81FB-32A22C5D952F}" name="Prix" dataDxfId="2" dataCellStyle="Monétaire"/>
    <tableColumn id="8" xr3:uid="{AF9D19B1-93B1-4ACE-B10F-818FD3288CA4}" name="PrixTot/PCB" dataDxfId="1" dataCellStyle="Monétaire">
      <calculatedColumnFormula>Tableau2[[#This Row],[Qty/PCB]]*Tableau2[[#This Row],[Prix]]</calculatedColumnFormula>
    </tableColumn>
    <tableColumn id="9" xr3:uid="{B4254C8A-C5D7-4572-B86E-606DB6474104}" name="Fabriquant" dataDxfId="0"/>
    <tableColumn id="10" xr3:uid="{CF25DBB4-03E2-4519-889D-8135C83E9E6E}" name="Fournisseur "/>
    <tableColumn id="11" xr3:uid="{BD2CA350-D119-422A-BE3F-FA523F34F5B9}" name="Lien "/>
    <tableColumn id="13" xr3:uid="{23078F5B-B4EF-4B8B-8C41-6B49DA287B4C}" name="E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rad.ch/de/p/tru-components-tc-13895648-rundsteckverbinder-stecker-buchsenkontakt-gesamtpolzahl-6-serie-rundsteckverbinder-gx16-3473912.html?insert=UP&amp;WT.srch=1&amp;ef_id=CjwKCAjw5s_QBhAdEiwADD_gBlB0NtPFlP1PxWWOBrmvbSo2JJn5T44wcE8r8-Hav4RDqu4GGAYJ1RoCRWEQAvD_BwE:G:s" TargetMode="External"/><Relationship Id="rId2" Type="http://schemas.openxmlformats.org/officeDocument/2006/relationships/hyperlink" Target="https://www.digikey.ch/fr/products/detail/diotec-semiconductor/1N4007/18833652" TargetMode="External"/><Relationship Id="rId1" Type="http://schemas.openxmlformats.org/officeDocument/2006/relationships/hyperlink" Target="https://www.conrad.ch/fr/p/finder-41-52-6-012-4016-relais-pour-circuits-imprimes-12-v-dc-8-a-2-inverseurs-rt-1-pc-s-1419696.html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onrad.ch/fr/p/potentiometre-rotatif-weltron-wcip20cips-08-60f1-4k7-20-lin-002045038962-avec-interrupteur-mono-0-4-w-4-7-k-1-pc-s-441128.html?refresh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EC6F-57FE-4577-A1D4-89717E48955F}">
  <dimension ref="A1:M44"/>
  <sheetViews>
    <sheetView tabSelected="1" zoomScale="72" zoomScaleNormal="115" workbookViewId="0">
      <selection activeCell="L19" sqref="L19"/>
    </sheetView>
  </sheetViews>
  <sheetFormatPr baseColWidth="10" defaultRowHeight="14.25" x14ac:dyDescent="0.45"/>
  <cols>
    <col min="1" max="1" width="25.59765625" customWidth="1"/>
    <col min="2" max="2" width="18.1328125" customWidth="1"/>
    <col min="3" max="3" width="12.73046875" customWidth="1"/>
    <col min="4" max="4" width="14.1328125" bestFit="1" customWidth="1"/>
    <col min="5" max="5" width="16.86328125" customWidth="1"/>
    <col min="9" max="9" width="12.1328125" customWidth="1"/>
    <col min="10" max="10" width="19.86328125" customWidth="1"/>
    <col min="11" max="11" width="12.3984375" customWidth="1"/>
    <col min="12" max="12" width="79.59765625" customWidth="1"/>
  </cols>
  <sheetData>
    <row r="1" spans="1:13" x14ac:dyDescent="0.45">
      <c r="A1" s="18" t="s">
        <v>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14.65" thickBot="1" x14ac:dyDescent="0.5">
      <c r="A2" s="12" t="s">
        <v>0</v>
      </c>
      <c r="B2" s="12" t="s">
        <v>33</v>
      </c>
      <c r="C2" s="13" t="s">
        <v>11</v>
      </c>
      <c r="D2" s="12" t="s">
        <v>21</v>
      </c>
      <c r="E2" s="12" t="s">
        <v>1</v>
      </c>
      <c r="F2" s="12" t="s">
        <v>2</v>
      </c>
      <c r="G2" s="12" t="s">
        <v>3</v>
      </c>
      <c r="H2" s="12" t="s">
        <v>4</v>
      </c>
      <c r="I2" s="12" t="s">
        <v>19</v>
      </c>
      <c r="J2" s="12" t="s">
        <v>5</v>
      </c>
      <c r="K2" s="12" t="s">
        <v>6</v>
      </c>
      <c r="L2" s="12" t="s">
        <v>7</v>
      </c>
      <c r="M2" s="12" t="s">
        <v>118</v>
      </c>
    </row>
    <row r="3" spans="1:13" x14ac:dyDescent="0.45">
      <c r="A3" t="s">
        <v>57</v>
      </c>
      <c r="C3" t="s">
        <v>94</v>
      </c>
      <c r="D3" t="s">
        <v>56</v>
      </c>
      <c r="F3" s="16">
        <v>3</v>
      </c>
      <c r="H3" s="2"/>
      <c r="I3" s="2">
        <f>Tableau2[[#This Row],[Qty/PCB]]*Tableau2[[#This Row],[Prix]]</f>
        <v>0</v>
      </c>
      <c r="J3" s="4"/>
      <c r="K3" t="s">
        <v>54</v>
      </c>
    </row>
    <row r="4" spans="1:13" x14ac:dyDescent="0.45">
      <c r="A4" t="s">
        <v>57</v>
      </c>
      <c r="C4" t="s">
        <v>24</v>
      </c>
      <c r="D4" t="s">
        <v>55</v>
      </c>
      <c r="F4" s="16">
        <v>1</v>
      </c>
      <c r="H4" s="2"/>
      <c r="I4" s="2">
        <f>Tableau2[[#This Row],[Qty/PCB]]*Tableau2[[#This Row],[Prix]]</f>
        <v>0</v>
      </c>
      <c r="K4" t="s">
        <v>54</v>
      </c>
    </row>
    <row r="5" spans="1:13" x14ac:dyDescent="0.45">
      <c r="A5" t="s">
        <v>105</v>
      </c>
      <c r="C5" t="s">
        <v>106</v>
      </c>
      <c r="D5" s="3" t="s">
        <v>107</v>
      </c>
      <c r="F5" s="16">
        <v>1</v>
      </c>
      <c r="H5" s="2">
        <v>0.15</v>
      </c>
      <c r="I5" s="2">
        <f>Tableau2[[#This Row],[Qty/PCB]]*Tableau2[[#This Row],[Prix]]</f>
        <v>0.15</v>
      </c>
      <c r="J5" s="4"/>
      <c r="K5" t="s">
        <v>54</v>
      </c>
      <c r="L5" t="s">
        <v>108</v>
      </c>
    </row>
    <row r="6" spans="1:13" x14ac:dyDescent="0.45">
      <c r="A6" t="s">
        <v>95</v>
      </c>
      <c r="C6" t="s">
        <v>97</v>
      </c>
      <c r="D6" s="3" t="s">
        <v>109</v>
      </c>
      <c r="F6" s="16">
        <v>1</v>
      </c>
      <c r="H6" s="2">
        <v>0.08</v>
      </c>
      <c r="I6" s="2">
        <f>Tableau2[[#This Row],[Qty/PCB]]*Tableau2[[#This Row],[Prix]]</f>
        <v>0.08</v>
      </c>
      <c r="J6" s="4"/>
      <c r="K6" t="s">
        <v>54</v>
      </c>
      <c r="L6" t="s">
        <v>96</v>
      </c>
    </row>
    <row r="7" spans="1:13" x14ac:dyDescent="0.45">
      <c r="A7" t="s">
        <v>60</v>
      </c>
      <c r="B7" t="s">
        <v>120</v>
      </c>
      <c r="F7" s="16">
        <v>1</v>
      </c>
      <c r="H7" s="2">
        <v>5.1999999999999998E-2</v>
      </c>
      <c r="I7" s="2">
        <f>Tableau2[[#This Row],[Qty/PCB]]*Tableau2[[#This Row],[Prix]]</f>
        <v>5.1999999999999998E-2</v>
      </c>
      <c r="J7" s="4"/>
      <c r="K7" t="s">
        <v>54</v>
      </c>
      <c r="L7" t="s">
        <v>64</v>
      </c>
    </row>
    <row r="8" spans="1:13" x14ac:dyDescent="0.45">
      <c r="A8" t="s">
        <v>61</v>
      </c>
      <c r="B8" t="s">
        <v>120</v>
      </c>
      <c r="F8" s="16">
        <v>1</v>
      </c>
      <c r="H8" s="2">
        <v>5.1999999999999998E-2</v>
      </c>
      <c r="I8" s="2">
        <f>Tableau2[[#This Row],[Qty/PCB]]*Tableau2[[#This Row],[Prix]]</f>
        <v>5.1999999999999998E-2</v>
      </c>
      <c r="J8" s="4"/>
      <c r="K8" t="s">
        <v>54</v>
      </c>
      <c r="L8" t="s">
        <v>64</v>
      </c>
    </row>
    <row r="9" spans="1:13" x14ac:dyDescent="0.45">
      <c r="A9" t="s">
        <v>63</v>
      </c>
      <c r="B9" t="s">
        <v>120</v>
      </c>
      <c r="F9" s="16">
        <v>1</v>
      </c>
      <c r="H9" s="2">
        <v>5.1999999999999998E-2</v>
      </c>
      <c r="I9" s="2">
        <f>Tableau2[[#This Row],[Qty/PCB]]*Tableau2[[#This Row],[Prix]]</f>
        <v>5.1999999999999998E-2</v>
      </c>
      <c r="J9" s="4"/>
      <c r="K9" t="s">
        <v>54</v>
      </c>
      <c r="L9" t="s">
        <v>64</v>
      </c>
    </row>
    <row r="10" spans="1:13" x14ac:dyDescent="0.45">
      <c r="A10" t="s">
        <v>62</v>
      </c>
      <c r="B10" t="s">
        <v>120</v>
      </c>
      <c r="F10" s="16">
        <v>1</v>
      </c>
      <c r="H10" s="2">
        <v>5.1999999999999998E-2</v>
      </c>
      <c r="I10" s="2">
        <f>Tableau2[[#This Row],[Qty/PCB]]*Tableau2[[#This Row],[Prix]]</f>
        <v>5.1999999999999998E-2</v>
      </c>
      <c r="J10" s="4"/>
      <c r="K10" t="s">
        <v>54</v>
      </c>
      <c r="L10" t="s">
        <v>64</v>
      </c>
    </row>
    <row r="11" spans="1:13" x14ac:dyDescent="0.45">
      <c r="A11" t="s">
        <v>71</v>
      </c>
      <c r="B11" t="s">
        <v>120</v>
      </c>
      <c r="D11" t="s">
        <v>76</v>
      </c>
      <c r="F11" s="16">
        <v>1</v>
      </c>
      <c r="H11" s="2">
        <v>1.52</v>
      </c>
      <c r="I11" s="2">
        <f>Tableau2[[#This Row],[Qty/PCB]]*Tableau2[[#This Row],[Prix]]</f>
        <v>1.52</v>
      </c>
      <c r="J11" s="4"/>
      <c r="K11" t="s">
        <v>54</v>
      </c>
      <c r="L11" t="s">
        <v>89</v>
      </c>
    </row>
    <row r="12" spans="1:13" x14ac:dyDescent="0.45">
      <c r="A12" t="s">
        <v>72</v>
      </c>
      <c r="F12" s="16">
        <v>2</v>
      </c>
      <c r="H12" s="2">
        <v>0.43</v>
      </c>
      <c r="I12" s="2">
        <f>Tableau2[[#This Row],[Qty/PCB]]*Tableau2[[#This Row],[Prix]]</f>
        <v>0.86</v>
      </c>
      <c r="J12" s="4"/>
      <c r="K12" t="s">
        <v>54</v>
      </c>
      <c r="L12" t="s">
        <v>90</v>
      </c>
    </row>
    <row r="13" spans="1:13" x14ac:dyDescent="0.45">
      <c r="A13" t="s">
        <v>73</v>
      </c>
      <c r="D13" t="s">
        <v>74</v>
      </c>
      <c r="F13" s="16">
        <v>2</v>
      </c>
      <c r="H13" s="2">
        <v>0.05</v>
      </c>
      <c r="I13" s="2">
        <f>Tableau2[[#This Row],[Qty/PCB]]*Tableau2[[#This Row],[Prix]]</f>
        <v>0.1</v>
      </c>
      <c r="J13" s="4"/>
      <c r="K13" t="s">
        <v>54</v>
      </c>
    </row>
    <row r="14" spans="1:13" x14ac:dyDescent="0.45">
      <c r="A14" t="s">
        <v>73</v>
      </c>
      <c r="D14" t="s">
        <v>75</v>
      </c>
      <c r="F14" s="16">
        <v>2</v>
      </c>
      <c r="H14" s="2">
        <v>0.05</v>
      </c>
      <c r="I14" s="2">
        <f>Tableau2[[#This Row],[Qty/PCB]]*Tableau2[[#This Row],[Prix]]</f>
        <v>0.1</v>
      </c>
      <c r="J14" s="4"/>
      <c r="K14" t="s">
        <v>54</v>
      </c>
    </row>
    <row r="15" spans="1:13" x14ac:dyDescent="0.45">
      <c r="A15" t="s">
        <v>103</v>
      </c>
      <c r="F15" s="16">
        <v>1</v>
      </c>
      <c r="H15" s="2">
        <v>0.15</v>
      </c>
      <c r="I15" s="2">
        <f>Tableau2[[#This Row],[Qty/PCB]]*Tableau2[[#This Row],[Prix]]</f>
        <v>0.15</v>
      </c>
      <c r="J15" s="4"/>
      <c r="K15" t="s">
        <v>54</v>
      </c>
      <c r="L15" t="s">
        <v>104</v>
      </c>
    </row>
    <row r="16" spans="1:13" x14ac:dyDescent="0.45">
      <c r="A16" t="s">
        <v>8</v>
      </c>
      <c r="B16" t="s">
        <v>116</v>
      </c>
      <c r="C16" t="s">
        <v>12</v>
      </c>
      <c r="E16" t="s">
        <v>111</v>
      </c>
      <c r="F16">
        <v>1</v>
      </c>
      <c r="H16" s="15">
        <v>5.5</v>
      </c>
      <c r="I16" s="2">
        <f>Tableau2[[#This Row],[Qty/PCB]]*Tableau2[[#This Row],[Prix]]</f>
        <v>5.5</v>
      </c>
      <c r="J16" t="s">
        <v>86</v>
      </c>
      <c r="K16" t="s">
        <v>66</v>
      </c>
      <c r="L16" s="14" t="s">
        <v>87</v>
      </c>
    </row>
    <row r="17" spans="1:13" x14ac:dyDescent="0.45">
      <c r="A17" t="s">
        <v>36</v>
      </c>
      <c r="C17" t="s">
        <v>14</v>
      </c>
      <c r="E17" t="s">
        <v>91</v>
      </c>
      <c r="F17">
        <v>1</v>
      </c>
      <c r="H17" s="2">
        <v>0.42</v>
      </c>
      <c r="I17" s="2">
        <f>Tableau2[[#This Row],[Qty/PCB]]*Tableau2[[#This Row],[Prix]]</f>
        <v>0.42</v>
      </c>
      <c r="J17" s="4" t="s">
        <v>42</v>
      </c>
      <c r="K17" t="s">
        <v>66</v>
      </c>
      <c r="L17" t="s">
        <v>92</v>
      </c>
    </row>
    <row r="18" spans="1:13" x14ac:dyDescent="0.45">
      <c r="A18" t="s">
        <v>58</v>
      </c>
      <c r="F18">
        <v>2</v>
      </c>
      <c r="H18" s="2">
        <v>2.4500000000000002</v>
      </c>
      <c r="I18" s="2">
        <f>Tableau2[[#This Row],[Qty/PCB]]*Tableau2[[#This Row],[Prix]]</f>
        <v>4.9000000000000004</v>
      </c>
      <c r="J18" s="4"/>
      <c r="K18" t="s">
        <v>66</v>
      </c>
      <c r="L18" s="14" t="s">
        <v>68</v>
      </c>
    </row>
    <row r="19" spans="1:13" x14ac:dyDescent="0.45">
      <c r="A19" t="s">
        <v>59</v>
      </c>
      <c r="D19" t="s">
        <v>67</v>
      </c>
      <c r="F19">
        <v>1</v>
      </c>
      <c r="H19" s="2">
        <v>4.25</v>
      </c>
      <c r="I19" s="2">
        <f>Tableau2[[#This Row],[Qty/PCB]]*Tableau2[[#This Row],[Prix]]</f>
        <v>4.25</v>
      </c>
      <c r="J19" s="4"/>
      <c r="K19" t="s">
        <v>66</v>
      </c>
      <c r="L19" s="14" t="s">
        <v>65</v>
      </c>
    </row>
    <row r="20" spans="1:13" x14ac:dyDescent="0.45">
      <c r="A20" s="3">
        <v>555</v>
      </c>
      <c r="B20" t="s">
        <v>116</v>
      </c>
      <c r="C20" t="s">
        <v>15</v>
      </c>
      <c r="E20" t="s">
        <v>34</v>
      </c>
      <c r="F20" s="16">
        <v>1</v>
      </c>
      <c r="H20" s="2">
        <v>0.68</v>
      </c>
      <c r="I20" s="2">
        <f>Tableau2[[#This Row],[Qty/PCB]]*Tableau2[[#This Row],[Prix]]</f>
        <v>0.68</v>
      </c>
      <c r="J20" t="s">
        <v>16</v>
      </c>
      <c r="K20" t="s">
        <v>9</v>
      </c>
      <c r="L20" t="s">
        <v>35</v>
      </c>
      <c r="M20" t="s">
        <v>119</v>
      </c>
    </row>
    <row r="21" spans="1:13" x14ac:dyDescent="0.45">
      <c r="A21" t="s">
        <v>36</v>
      </c>
      <c r="B21" s="3" t="s">
        <v>116</v>
      </c>
      <c r="C21" t="s">
        <v>37</v>
      </c>
      <c r="E21" t="s">
        <v>38</v>
      </c>
      <c r="F21" s="16">
        <v>3</v>
      </c>
      <c r="H21" s="2">
        <v>8.5000000000000006E-2</v>
      </c>
      <c r="I21" s="2">
        <f>Tableau2[[#This Row],[Qty/PCB]]*Tableau2[[#This Row],[Prix]]</f>
        <v>0.255</v>
      </c>
      <c r="J21" s="4" t="s">
        <v>17</v>
      </c>
      <c r="K21" t="s">
        <v>9</v>
      </c>
      <c r="L21" t="s">
        <v>39</v>
      </c>
      <c r="M21" t="s">
        <v>119</v>
      </c>
    </row>
    <row r="22" spans="1:13" x14ac:dyDescent="0.45">
      <c r="A22" t="s">
        <v>40</v>
      </c>
      <c r="B22" t="s">
        <v>116</v>
      </c>
      <c r="C22" t="s">
        <v>70</v>
      </c>
      <c r="E22" t="s">
        <v>41</v>
      </c>
      <c r="F22" s="16">
        <v>1</v>
      </c>
      <c r="H22" s="2">
        <v>2.48</v>
      </c>
      <c r="I22" s="2">
        <f>Tableau2[[#This Row],[Qty/PCB]]*Tableau2[[#This Row],[Prix]]</f>
        <v>2.48</v>
      </c>
      <c r="J22" s="4" t="s">
        <v>42</v>
      </c>
      <c r="K22" t="s">
        <v>9</v>
      </c>
      <c r="L22" t="s">
        <v>43</v>
      </c>
      <c r="M22" t="s">
        <v>119</v>
      </c>
    </row>
    <row r="23" spans="1:13" x14ac:dyDescent="0.45">
      <c r="A23" t="s">
        <v>98</v>
      </c>
      <c r="B23" t="s">
        <v>116</v>
      </c>
      <c r="C23" t="s">
        <v>102</v>
      </c>
      <c r="E23" t="s">
        <v>99</v>
      </c>
      <c r="F23" s="16">
        <v>1</v>
      </c>
      <c r="H23" s="2">
        <v>0.50900000000000001</v>
      </c>
      <c r="I23" s="2">
        <f>Tableau2[[#This Row],[Qty/PCB]]*Tableau2[[#This Row],[Prix]]</f>
        <v>0.50900000000000001</v>
      </c>
      <c r="J23" s="4" t="s">
        <v>101</v>
      </c>
      <c r="K23" t="s">
        <v>9</v>
      </c>
      <c r="L23" t="s">
        <v>100</v>
      </c>
      <c r="M23" t="s">
        <v>119</v>
      </c>
    </row>
    <row r="24" spans="1:13" x14ac:dyDescent="0.45">
      <c r="A24" t="s">
        <v>52</v>
      </c>
      <c r="B24" t="s">
        <v>117</v>
      </c>
      <c r="C24" t="s">
        <v>53</v>
      </c>
      <c r="D24" s="5"/>
      <c r="E24" t="s">
        <v>18</v>
      </c>
      <c r="F24" s="16">
        <v>4</v>
      </c>
      <c r="H24" s="2">
        <v>6.8000000000000005E-2</v>
      </c>
      <c r="I24" s="2">
        <f>Tableau2[[#This Row],[Qty/PCB]]*Tableau2[[#This Row],[Prix]]</f>
        <v>0.27200000000000002</v>
      </c>
      <c r="J24" s="4" t="s">
        <v>17</v>
      </c>
      <c r="K24" t="s">
        <v>9</v>
      </c>
      <c r="L24" s="14" t="s">
        <v>25</v>
      </c>
      <c r="M24" t="s">
        <v>119</v>
      </c>
    </row>
    <row r="25" spans="1:13" x14ac:dyDescent="0.45">
      <c r="A25" t="s">
        <v>112</v>
      </c>
      <c r="B25" t="s">
        <v>116</v>
      </c>
      <c r="C25" t="s">
        <v>113</v>
      </c>
      <c r="E25" t="s">
        <v>114</v>
      </c>
      <c r="F25" s="16">
        <v>1</v>
      </c>
      <c r="H25" s="2">
        <v>0.23</v>
      </c>
      <c r="I25" s="2">
        <f>Tableau2[[#This Row],[Qty/PCB]]*Tableau2[[#This Row],[Prix]]</f>
        <v>0.23</v>
      </c>
      <c r="J25" s="4"/>
      <c r="K25" t="s">
        <v>9</v>
      </c>
      <c r="L25" t="s">
        <v>115</v>
      </c>
      <c r="M25" t="s">
        <v>119</v>
      </c>
    </row>
    <row r="26" spans="1:13" x14ac:dyDescent="0.45">
      <c r="A26" t="s">
        <v>84</v>
      </c>
      <c r="F26">
        <v>1</v>
      </c>
      <c r="H26" s="2">
        <v>1</v>
      </c>
      <c r="I26" s="2">
        <f>Tableau2[[#This Row],[Qty/PCB]]*Tableau2[[#This Row],[Prix]]</f>
        <v>1</v>
      </c>
      <c r="J26" s="4"/>
      <c r="K26" t="s">
        <v>88</v>
      </c>
    </row>
    <row r="27" spans="1:13" x14ac:dyDescent="0.45">
      <c r="A27" t="s">
        <v>10</v>
      </c>
      <c r="B27" t="s">
        <v>116</v>
      </c>
      <c r="C27" t="s">
        <v>13</v>
      </c>
      <c r="F27">
        <v>1</v>
      </c>
      <c r="H27" s="2">
        <v>0.5</v>
      </c>
      <c r="I27" s="2">
        <f>Tableau2[[#This Row],[Qty/PCB]]*Tableau2[[#This Row],[Prix]]</f>
        <v>0.5</v>
      </c>
      <c r="K27" t="s">
        <v>22</v>
      </c>
    </row>
    <row r="28" spans="1:13" x14ac:dyDescent="0.45">
      <c r="A28" t="s">
        <v>20</v>
      </c>
      <c r="C28" t="s">
        <v>46</v>
      </c>
      <c r="D28" t="s">
        <v>47</v>
      </c>
      <c r="F28">
        <v>1</v>
      </c>
      <c r="H28" s="2">
        <v>0.05</v>
      </c>
      <c r="I28" s="2">
        <f>Tableau2[[#This Row],[Qty/PCB]]*Tableau2[[#This Row],[Prix]]</f>
        <v>0.05</v>
      </c>
      <c r="J28" s="4"/>
      <c r="K28" t="s">
        <v>22</v>
      </c>
    </row>
    <row r="29" spans="1:13" x14ac:dyDescent="0.45">
      <c r="A29" t="s">
        <v>20</v>
      </c>
      <c r="C29" t="s">
        <v>48</v>
      </c>
      <c r="D29" t="s">
        <v>49</v>
      </c>
      <c r="F29">
        <v>1</v>
      </c>
      <c r="H29" s="2">
        <v>0.05</v>
      </c>
      <c r="I29" s="2">
        <f>Tableau2[[#This Row],[Qty/PCB]]*Tableau2[[#This Row],[Prix]]</f>
        <v>0.05</v>
      </c>
      <c r="J29" s="4"/>
      <c r="K29" t="s">
        <v>22</v>
      </c>
    </row>
    <row r="30" spans="1:13" x14ac:dyDescent="0.45">
      <c r="A30" t="s">
        <v>23</v>
      </c>
      <c r="C30" t="s">
        <v>81</v>
      </c>
      <c r="D30" t="s">
        <v>69</v>
      </c>
      <c r="F30">
        <v>5</v>
      </c>
      <c r="H30" s="2">
        <v>0.05</v>
      </c>
      <c r="I30" s="2">
        <f>Tableau2[[#This Row],[Qty/PCB]]*Tableau2[[#This Row],[Prix]]</f>
        <v>0.25</v>
      </c>
      <c r="J30" s="4"/>
      <c r="K30" t="s">
        <v>22</v>
      </c>
    </row>
    <row r="31" spans="1:13" x14ac:dyDescent="0.45">
      <c r="A31" t="s">
        <v>23</v>
      </c>
      <c r="C31" t="s">
        <v>110</v>
      </c>
      <c r="D31" t="s">
        <v>83</v>
      </c>
      <c r="F31">
        <v>3</v>
      </c>
      <c r="H31" s="2">
        <v>0.05</v>
      </c>
      <c r="I31" s="2">
        <f>Tableau2[[#This Row],[Qty/PCB]]*Tableau2[[#This Row],[Prix]]</f>
        <v>0.15000000000000002</v>
      </c>
      <c r="J31" s="4"/>
      <c r="K31" t="s">
        <v>22</v>
      </c>
    </row>
    <row r="32" spans="1:13" x14ac:dyDescent="0.45">
      <c r="A32" t="s">
        <v>23</v>
      </c>
      <c r="C32" t="s">
        <v>79</v>
      </c>
      <c r="D32" t="s">
        <v>93</v>
      </c>
      <c r="F32">
        <v>1</v>
      </c>
      <c r="H32" s="2">
        <v>0.05</v>
      </c>
      <c r="I32" s="2">
        <f>Tableau2[[#This Row],[Qty/PCB]]*Tableau2[[#This Row],[Prix]]</f>
        <v>0.05</v>
      </c>
      <c r="J32" s="4"/>
      <c r="K32" t="s">
        <v>22</v>
      </c>
    </row>
    <row r="33" spans="1:11" x14ac:dyDescent="0.45">
      <c r="A33" t="s">
        <v>23</v>
      </c>
      <c r="C33" t="s">
        <v>80</v>
      </c>
      <c r="D33" s="3" t="s">
        <v>82</v>
      </c>
      <c r="F33">
        <v>2</v>
      </c>
      <c r="H33" s="2">
        <v>0.05</v>
      </c>
      <c r="I33" s="2">
        <f>Tableau2[[#This Row],[Qty/PCB]]*Tableau2[[#This Row],[Prix]]</f>
        <v>0.1</v>
      </c>
      <c r="J33" s="4"/>
      <c r="K33" t="s">
        <v>22</v>
      </c>
    </row>
    <row r="34" spans="1:11" x14ac:dyDescent="0.45">
      <c r="A34" t="s">
        <v>23</v>
      </c>
      <c r="C34" t="s">
        <v>77</v>
      </c>
      <c r="D34" s="3" t="s">
        <v>78</v>
      </c>
      <c r="F34">
        <v>4</v>
      </c>
      <c r="H34" s="2">
        <v>0.05</v>
      </c>
      <c r="I34" s="2">
        <f>Tableau2[[#This Row],[Qty/PCB]]*Tableau2[[#This Row],[Prix]]</f>
        <v>0.2</v>
      </c>
      <c r="K34" t="s">
        <v>22</v>
      </c>
    </row>
    <row r="35" spans="1:11" x14ac:dyDescent="0.45">
      <c r="A35" t="s">
        <v>20</v>
      </c>
      <c r="C35" t="s">
        <v>44</v>
      </c>
      <c r="D35" t="s">
        <v>85</v>
      </c>
      <c r="F35">
        <v>2</v>
      </c>
      <c r="H35" s="2"/>
      <c r="I35" s="2">
        <f>Tableau2[[#This Row],[Qty/PCB]]*Tableau2[[#This Row],[Prix]]</f>
        <v>0</v>
      </c>
      <c r="J35" s="4"/>
    </row>
    <row r="36" spans="1:11" x14ac:dyDescent="0.45">
      <c r="A36" t="s">
        <v>20</v>
      </c>
      <c r="C36" t="s">
        <v>50</v>
      </c>
      <c r="D36" t="s">
        <v>51</v>
      </c>
      <c r="F36">
        <v>1</v>
      </c>
      <c r="H36" s="2"/>
      <c r="I36" s="2">
        <f>Tableau2[[#This Row],[Qty/PCB]]*Tableau2[[#This Row],[Prix]]</f>
        <v>0</v>
      </c>
      <c r="J36" s="4"/>
    </row>
    <row r="37" spans="1:11" x14ac:dyDescent="0.45">
      <c r="H37" s="2"/>
      <c r="I37" s="2"/>
    </row>
    <row r="38" spans="1:11" x14ac:dyDescent="0.45">
      <c r="A38" s="6" t="s">
        <v>29</v>
      </c>
      <c r="B38" s="6"/>
      <c r="C38" s="8">
        <v>46126</v>
      </c>
      <c r="D38" s="19" t="e" vm="1">
        <v>#VALUE!</v>
      </c>
      <c r="E38" s="20"/>
      <c r="F38" s="21"/>
      <c r="H38" s="2"/>
      <c r="I38" s="2"/>
      <c r="J38" s="17"/>
    </row>
    <row r="39" spans="1:11" x14ac:dyDescent="0.45">
      <c r="A39" s="7" t="s">
        <v>28</v>
      </c>
      <c r="B39" s="7"/>
      <c r="C39" s="9" t="s">
        <v>27</v>
      </c>
      <c r="D39" s="22"/>
      <c r="E39" s="18"/>
      <c r="F39" s="23"/>
      <c r="H39" s="2"/>
      <c r="I39" s="2"/>
    </row>
    <row r="40" spans="1:11" x14ac:dyDescent="0.45">
      <c r="A40" s="7" t="s">
        <v>30</v>
      </c>
      <c r="B40" s="7"/>
      <c r="C40" s="9" t="s">
        <v>45</v>
      </c>
      <c r="D40" s="22"/>
      <c r="E40" s="18"/>
      <c r="F40" s="23"/>
    </row>
    <row r="41" spans="1:11" x14ac:dyDescent="0.45">
      <c r="A41" s="10" t="s">
        <v>31</v>
      </c>
      <c r="B41" s="10"/>
      <c r="C41" s="11" t="s">
        <v>32</v>
      </c>
      <c r="D41" s="24"/>
      <c r="E41" s="25"/>
      <c r="F41" s="26"/>
    </row>
    <row r="42" spans="1:11" x14ac:dyDescent="0.45">
      <c r="A42" s="1"/>
      <c r="B42" s="1"/>
    </row>
    <row r="43" spans="1:11" x14ac:dyDescent="0.45">
      <c r="A43" s="1"/>
      <c r="B43" s="1"/>
    </row>
    <row r="44" spans="1:11" x14ac:dyDescent="0.45">
      <c r="A44" s="1"/>
      <c r="B44" s="1"/>
    </row>
  </sheetData>
  <mergeCells count="2">
    <mergeCell ref="A1:L1"/>
    <mergeCell ref="D38:F41"/>
  </mergeCells>
  <hyperlinks>
    <hyperlink ref="L16" r:id="rId1" xr:uid="{B3065FAB-E838-4A51-A82F-630335C42D81}"/>
    <hyperlink ref="L24" r:id="rId2" xr:uid="{2207D865-CE83-4458-802D-86175171E33D}"/>
    <hyperlink ref="L18" r:id="rId3" display="https://www.conrad.ch/de/p/tru-components-tc-13895648-rundsteckverbinder-stecker-buchsenkontakt-gesamtpolzahl-6-serie-rundsteckverbinder-gx16-3473912.html?insert=UP&amp;WT.srch=1&amp;ef_id=CjwKCAjw5s_QBhAdEiwADD_gBlB0NtPFlP1PxWWOBrmvbSo2JJn5T44wcE8r8-Hav4RDqu4GGAYJ1RoCRWEQAvD_BwE:G:s" xr:uid="{D4E7E61F-AE6E-48A3-9576-9A9FC4F56721}"/>
    <hyperlink ref="L19" r:id="rId4" xr:uid="{FD97052D-7F57-49D4-BDD2-C0687DAB5CAD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jules grucy</dc:creator>
  <cp:lastModifiedBy>jules grucy</cp:lastModifiedBy>
  <cp:lastPrinted>2026-08-12T20:11:56Z</cp:lastPrinted>
  <dcterms:created xsi:type="dcterms:W3CDTF">2026-04-14T07:06:51Z</dcterms:created>
  <dcterms:modified xsi:type="dcterms:W3CDTF">2026-10-14T12:26:36Z</dcterms:modified>
</cp:coreProperties>
</file>