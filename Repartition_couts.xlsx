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c430203973324/TravauxMetriques/IIm/Passion IIm/PupitreLigne/AlimLigne_PassionIIm/"/>
    </mc:Choice>
  </mc:AlternateContent>
  <xr:revisionPtr revIDLastSave="82" documentId="8_{48C7A40A-BED0-409D-895B-8CC7347D8572}" xr6:coauthVersionLast="47" xr6:coauthVersionMax="47" xr10:uidLastSave="{8257A165-909C-4DBC-8C20-9EE8118C267B}"/>
  <bookViews>
    <workbookView xWindow="204" yWindow="696" windowWidth="21600" windowHeight="12528" activeTab="1" xr2:uid="{CB5EFA0C-1501-4308-95E7-4D3D48E49409}"/>
  </bookViews>
  <sheets>
    <sheet name="Offre" sheetId="1" r:id="rId1"/>
    <sheet name="Comp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B11" i="2"/>
  <c r="B13" i="2" s="1"/>
  <c r="G5" i="1"/>
  <c r="G6" i="1"/>
  <c r="G4" i="1"/>
  <c r="F4" i="1"/>
  <c r="F5" i="1"/>
  <c r="F6" i="1"/>
  <c r="F3" i="1"/>
</calcChain>
</file>

<file path=xl/sharedStrings.xml><?xml version="1.0" encoding="utf-8"?>
<sst xmlns="http://schemas.openxmlformats.org/spreadsheetml/2006/main" count="20" uniqueCount="19">
  <si>
    <t>Fred</t>
  </si>
  <si>
    <t>Pupitre ligne</t>
  </si>
  <si>
    <t>Commun</t>
  </si>
  <si>
    <t>Régulateur traction</t>
  </si>
  <si>
    <t>Matériel réserve</t>
  </si>
  <si>
    <t>Prototype</t>
  </si>
  <si>
    <t>Stéphane</t>
  </si>
  <si>
    <t>Raphael</t>
  </si>
  <si>
    <t>Total</t>
  </si>
  <si>
    <t>Sous-total</t>
  </si>
  <si>
    <t>Digikey</t>
  </si>
  <si>
    <t>Aliexpress</t>
  </si>
  <si>
    <t>Conrad (est)</t>
  </si>
  <si>
    <t>stock (est)</t>
  </si>
  <si>
    <t>3D (est)</t>
  </si>
  <si>
    <t>PCB (est)</t>
  </si>
  <si>
    <t>Marge (est)</t>
  </si>
  <si>
    <t>Conrad 1</t>
  </si>
  <si>
    <t>Depenses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</si>
</sst>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CHF&quot;_-;\-* #,##0.00\ &quot;CHF&quot;_-;_-* &quot;-&quot;??\ &quot;CHF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44" fontId="2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1F00-7946-490B-8C6F-469A4946F0E5}">
  <dimension ref="A1:G8"/>
  <sheetViews>
    <sheetView workbookViewId="0">
      <selection activeCell="H8" sqref="H8"/>
    </sheetView>
  </sheetViews>
  <sheetFormatPr baseColWidth="10" defaultRowHeight="14.4" x14ac:dyDescent="0.3"/>
  <cols>
    <col min="6" max="7" width="11.6640625" bestFit="1" customWidth="1"/>
  </cols>
  <sheetData>
    <row r="1" spans="1:7" x14ac:dyDescent="0.3">
      <c r="B1" t="s">
        <v>1</v>
      </c>
      <c r="C1" t="s">
        <v>3</v>
      </c>
      <c r="D1" t="s">
        <v>4</v>
      </c>
      <c r="E1" t="s">
        <v>5</v>
      </c>
      <c r="F1" t="s">
        <v>9</v>
      </c>
      <c r="G1" t="s">
        <v>8</v>
      </c>
    </row>
    <row r="2" spans="1:7" x14ac:dyDescent="0.3">
      <c r="B2">
        <v>45</v>
      </c>
      <c r="C2">
        <v>35</v>
      </c>
      <c r="D2">
        <v>35</v>
      </c>
      <c r="E2">
        <v>45</v>
      </c>
    </row>
    <row r="3" spans="1:7" x14ac:dyDescent="0.3">
      <c r="A3" t="s">
        <v>2</v>
      </c>
      <c r="E3">
        <v>1</v>
      </c>
      <c r="F3" s="1">
        <f>B3*$B$2+C3*$C$2+D3*$D$2+E3*$E$2</f>
        <v>45</v>
      </c>
      <c r="G3" s="1"/>
    </row>
    <row r="4" spans="1:7" x14ac:dyDescent="0.3">
      <c r="A4" t="s">
        <v>0</v>
      </c>
      <c r="B4">
        <v>2</v>
      </c>
      <c r="C4">
        <v>4</v>
      </c>
      <c r="D4">
        <v>1</v>
      </c>
      <c r="F4" s="1">
        <f t="shared" ref="F4:F6" si="0">B4*$B$2+C4*$C$2+D4*$D$2+E4*$E$2</f>
        <v>265</v>
      </c>
      <c r="G4" s="1">
        <f>$F$3/COUNTA($F$4:$F$6)+F4</f>
        <v>280</v>
      </c>
    </row>
    <row r="5" spans="1:7" x14ac:dyDescent="0.3">
      <c r="A5" t="s">
        <v>6</v>
      </c>
      <c r="B5">
        <v>2</v>
      </c>
      <c r="C5">
        <v>1</v>
      </c>
      <c r="D5">
        <v>1</v>
      </c>
      <c r="F5" s="1">
        <f t="shared" si="0"/>
        <v>160</v>
      </c>
      <c r="G5" s="1">
        <f t="shared" ref="G5:G6" si="1">$F$3/COUNTA($F$4:$F$6)+F5</f>
        <v>175</v>
      </c>
    </row>
    <row r="6" spans="1:7" x14ac:dyDescent="0.3">
      <c r="A6" t="s">
        <v>7</v>
      </c>
      <c r="B6">
        <v>1</v>
      </c>
      <c r="C6">
        <v>1</v>
      </c>
      <c r="D6">
        <v>1</v>
      </c>
      <c r="F6" s="1">
        <f t="shared" si="0"/>
        <v>115</v>
      </c>
      <c r="G6" s="1">
        <f t="shared" si="1"/>
        <v>130</v>
      </c>
    </row>
    <row r="8" spans="1:7" x14ac:dyDescent="0.3">
      <c r="G8" s="2">
        <f>SUM(G4:G6)</f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33B5-99AE-4E6F-A3BC-72E14FCBC62C}">
  <dimension ref="A1:B13"/>
  <sheetViews>
    <sheetView tabSelected="1" workbookViewId="0"/>
  </sheetViews>
  <sheetFormatPr baseColWidth="10" defaultRowHeight="14.4" x14ac:dyDescent="0.3"/>
  <cols>
    <col min="2" max="2" width="11.88671875" bestFit="1" customWidth="1"/>
  </cols>
  <sheetData>
    <row r="1" spans="1:2" x14ac:dyDescent="0.3">
      <c r="A1" t="s">
        <v>18</v>
      </c>
    </row>
    <row r="2" spans="1:2" x14ac:dyDescent="0.3">
      <c r="A2" t="s">
        <v>10</v>
      </c>
      <c r="B2" s="1">
        <v>77.349999999999994</v>
      </c>
    </row>
    <row r="3" spans="1:2" x14ac:dyDescent="0.3">
      <c r="A3" t="s">
        <v>11</v>
      </c>
      <c r="B3" s="1">
        <v>100.61</v>
      </c>
    </row>
    <row r="4" spans="1:2" x14ac:dyDescent="0.3">
      <c r="A4" t="s">
        <v>17</v>
      </c>
      <c r="B4" s="1"/>
    </row>
    <row r="5" spans="1:2" x14ac:dyDescent="0.3">
      <c r="A5" s="3" t="s">
        <v>12</v>
      </c>
      <c r="B5" s="4">
        <v>230</v>
      </c>
    </row>
    <row r="6" spans="1:2" x14ac:dyDescent="0.3">
      <c r="A6" s="3" t="s">
        <v>13</v>
      </c>
      <c r="B6" s="4">
        <v>21</v>
      </c>
    </row>
    <row r="7" spans="1:2" x14ac:dyDescent="0.3">
      <c r="A7" s="3" t="s">
        <v>15</v>
      </c>
      <c r="B7" s="4">
        <v>43</v>
      </c>
    </row>
    <row r="8" spans="1:2" x14ac:dyDescent="0.3">
      <c r="A8" s="3" t="s">
        <v>14</v>
      </c>
      <c r="B8" s="4">
        <v>66</v>
      </c>
    </row>
    <row r="9" spans="1:2" x14ac:dyDescent="0.3">
      <c r="B9" s="1"/>
    </row>
    <row r="10" spans="1:2" x14ac:dyDescent="0.3">
      <c r="B10" s="1"/>
    </row>
    <row r="11" spans="1:2" x14ac:dyDescent="0.3">
      <c r="A11" t="s">
        <v>8</v>
      </c>
      <c r="B11" s="1">
        <f>SUM(B2:B8)</f>
        <v>537.96</v>
      </c>
    </row>
    <row r="13" spans="1:2" x14ac:dyDescent="0.3">
      <c r="A13" t="s">
        <v>16</v>
      </c>
      <c r="B13" s="2">
        <f>Offre!G8-B11</f>
        <v>47.039999999999964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Offre</vt:lpstr>
      <vt:lpstr>Compte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De Pascale</dc:creator>
  <cp:lastModifiedBy>Damien De Pascale</cp:lastModifiedBy>
  <dcterms:created xsi:type="dcterms:W3CDTF">2026-08-20T20:51:38Z</dcterms:created>
  <dcterms:modified xsi:type="dcterms:W3CDTF">2026-09-21T15:42:17Z</dcterms:modified>
</cp:coreProperties>
</file>